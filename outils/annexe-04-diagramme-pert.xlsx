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ed8274ec99c1fde/DELL/Documents/Adel/DEC/UE 3 - Mémoire/2_Mémoire/Outils/Chapitre 1/"/>
    </mc:Choice>
  </mc:AlternateContent>
  <xr:revisionPtr revIDLastSave="8" documentId="11_EC0D8CE5513750806EC6A662DD4012B8872377B7" xr6:coauthVersionLast="47" xr6:coauthVersionMax="47" xr10:uidLastSave="{2CFC6A13-B917-44B8-8644-81889369C152}"/>
  <workbookProtection workbookAlgorithmName="SHA-512" workbookHashValue="HveI8rwSp2d8kG4baGK10A/2Y9hTZCb/Uqw1zAeSk9dqf6FzGqpu7mAzHIjXp2sFfDqZku9KDpYgoZtKfCnu9Q==" workbookSaltValue="o38j8zOc2zbXeEoE7CIyTw==" workbookSpinCount="100000" lockStructure="1"/>
  <bookViews>
    <workbookView xWindow="-28920" yWindow="-45" windowWidth="29040" windowHeight="15720" tabRatio="500" xr2:uid="{00000000-000D-0000-FFFF-FFFF00000000}"/>
  </bookViews>
  <sheets>
    <sheet name="0-Saisie" sheetId="1" r:id="rId1"/>
    <sheet name="1-Mode emploi" sheetId="2" r:id="rId2"/>
    <sheet name="2-Mon Projet" sheetId="3" r:id="rId3"/>
    <sheet name="3-Periodes" sheetId="4" r:id="rId4"/>
    <sheet name="4-Gantt" sheetId="5" r:id="rId5"/>
    <sheet name="5-PERT" sheetId="6" r:id="rId6"/>
    <sheet name="6-Alert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7" l="1"/>
  <c r="F30" i="6"/>
  <c r="L27" i="6"/>
  <c r="L26" i="6"/>
  <c r="L25" i="6"/>
  <c r="L24" i="6"/>
  <c r="L23" i="6"/>
  <c r="L22" i="6"/>
  <c r="E22" i="6"/>
  <c r="L21" i="6"/>
  <c r="L20" i="6"/>
  <c r="L19" i="6"/>
  <c r="L18" i="6"/>
  <c r="L17" i="6"/>
  <c r="E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F31" i="6" s="1"/>
  <c r="F4" i="6"/>
  <c r="A53" i="5"/>
  <c r="A52" i="5"/>
  <c r="A51" i="5"/>
  <c r="C49" i="5"/>
  <c r="A44" i="5"/>
  <c r="Y35" i="5"/>
  <c r="V35" i="5"/>
  <c r="U35" i="5"/>
  <c r="T35" i="5"/>
  <c r="S35" i="5"/>
  <c r="Q35" i="5"/>
  <c r="P35" i="5"/>
  <c r="M35" i="5"/>
  <c r="L35" i="5"/>
  <c r="K35" i="5"/>
  <c r="I35" i="5"/>
  <c r="H35" i="5"/>
  <c r="G35" i="5"/>
  <c r="F35" i="5"/>
  <c r="X35" i="5" s="1"/>
  <c r="D35" i="5"/>
  <c r="F33" i="5"/>
  <c r="O33" i="5" s="1"/>
  <c r="D33" i="5"/>
  <c r="E26" i="6" s="1"/>
  <c r="D31" i="5"/>
  <c r="V29" i="5"/>
  <c r="S29" i="5"/>
  <c r="H29" i="5"/>
  <c r="F29" i="5"/>
  <c r="Q29" i="5" s="1"/>
  <c r="D29" i="5"/>
  <c r="Z28" i="5"/>
  <c r="V28" i="5"/>
  <c r="U28" i="5"/>
  <c r="T28" i="5"/>
  <c r="S28" i="5"/>
  <c r="R28" i="5"/>
  <c r="Q28" i="5"/>
  <c r="M28" i="5"/>
  <c r="L28" i="5"/>
  <c r="K28" i="5"/>
  <c r="J28" i="5"/>
  <c r="I28" i="5"/>
  <c r="F28" i="5"/>
  <c r="Y28" i="5" s="1"/>
  <c r="D28" i="5"/>
  <c r="D24" i="5"/>
  <c r="R23" i="5"/>
  <c r="F23" i="5"/>
  <c r="O23" i="5" s="1"/>
  <c r="D23" i="5"/>
  <c r="E18" i="6" s="1"/>
  <c r="D22" i="5"/>
  <c r="D15" i="5"/>
  <c r="D11" i="5"/>
  <c r="B41" i="4"/>
  <c r="B34" i="4"/>
  <c r="B30" i="4"/>
  <c r="B29" i="4"/>
  <c r="B17" i="4"/>
  <c r="B5" i="4"/>
  <c r="F58" i="3"/>
  <c r="F57" i="3"/>
  <c r="F56" i="3"/>
  <c r="F55" i="3"/>
  <c r="D45" i="3"/>
  <c r="D8" i="5" s="1"/>
  <c r="D42" i="3"/>
  <c r="D41" i="3"/>
  <c r="D40" i="3"/>
  <c r="D49" i="3" s="1"/>
  <c r="B8" i="4" s="1"/>
  <c r="D39" i="3"/>
  <c r="D48" i="3" s="1"/>
  <c r="D38" i="3"/>
  <c r="D35" i="3"/>
  <c r="D34" i="3"/>
  <c r="D50" i="3" s="1"/>
  <c r="B43" i="4" s="1"/>
  <c r="D33" i="3"/>
  <c r="B42" i="4" s="1"/>
  <c r="D32" i="3"/>
  <c r="D31" i="3"/>
  <c r="B18" i="4" s="1"/>
  <c r="D29" i="3"/>
  <c r="D28" i="3"/>
  <c r="D27" i="3"/>
  <c r="D26" i="3"/>
  <c r="D23" i="3"/>
  <c r="D22" i="3"/>
  <c r="D21" i="3"/>
  <c r="D46" i="3" s="1"/>
  <c r="D18" i="3"/>
  <c r="D17" i="3"/>
  <c r="D16" i="3"/>
  <c r="D13" i="3"/>
  <c r="D12" i="3"/>
  <c r="D11" i="3"/>
  <c r="B2" i="5" s="1"/>
  <c r="D8" i="3"/>
  <c r="D7" i="3"/>
  <c r="D6" i="3"/>
  <c r="I7" i="1"/>
  <c r="I6" i="1"/>
  <c r="I5" i="1"/>
  <c r="D19" i="5" l="1"/>
  <c r="D27" i="5"/>
  <c r="D10" i="5"/>
  <c r="D20" i="5"/>
  <c r="D18" i="5"/>
  <c r="I31" i="5"/>
  <c r="Z8" i="5"/>
  <c r="S23" i="5"/>
  <c r="Z33" i="5"/>
  <c r="Y33" i="5"/>
  <c r="V11" i="5"/>
  <c r="N11" i="5"/>
  <c r="F11" i="5"/>
  <c r="W11" i="5"/>
  <c r="M11" i="5"/>
  <c r="E9" i="6"/>
  <c r="V23" i="5"/>
  <c r="X29" i="5"/>
  <c r="U31" i="5"/>
  <c r="K33" i="5"/>
  <c r="J11" i="5"/>
  <c r="I23" i="5"/>
  <c r="E19" i="6"/>
  <c r="I29" i="5"/>
  <c r="F31" i="5"/>
  <c r="O31" i="5" s="1"/>
  <c r="U33" i="5"/>
  <c r="L33" i="5"/>
  <c r="R8" i="5"/>
  <c r="M33" i="5"/>
  <c r="U8" i="5"/>
  <c r="B6" i="7"/>
  <c r="D47" i="3"/>
  <c r="H2" i="5" s="1"/>
  <c r="B46" i="4"/>
  <c r="F8" i="5"/>
  <c r="L8" i="5" s="1"/>
  <c r="W8" i="5"/>
  <c r="L11" i="5"/>
  <c r="J23" i="5"/>
  <c r="F24" i="5"/>
  <c r="R24" i="5" s="1"/>
  <c r="X24" i="5"/>
  <c r="M29" i="5"/>
  <c r="D32" i="5"/>
  <c r="Q33" i="5"/>
  <c r="Z31" i="5"/>
  <c r="Q31" i="5"/>
  <c r="H31" i="5"/>
  <c r="E24" i="6"/>
  <c r="S31" i="5"/>
  <c r="J31" i="5"/>
  <c r="B5" i="7"/>
  <c r="D44" i="3"/>
  <c r="H8" i="5"/>
  <c r="O11" i="5"/>
  <c r="M23" i="5"/>
  <c r="O29" i="5"/>
  <c r="K31" i="5"/>
  <c r="T33" i="5"/>
  <c r="X8" i="5"/>
  <c r="P8" i="5"/>
  <c r="T8" i="5"/>
  <c r="K8" i="5"/>
  <c r="S8" i="5"/>
  <c r="J8" i="5"/>
  <c r="E6" i="6"/>
  <c r="Y8" i="5"/>
  <c r="O8" i="5"/>
  <c r="V8" i="5"/>
  <c r="M8" i="5"/>
  <c r="Y23" i="5"/>
  <c r="B9" i="7"/>
  <c r="D6" i="5"/>
  <c r="I8" i="5"/>
  <c r="D9" i="5"/>
  <c r="P11" i="5"/>
  <c r="Y15" i="5"/>
  <c r="P15" i="5"/>
  <c r="E12" i="6"/>
  <c r="X15" i="5"/>
  <c r="O15" i="5"/>
  <c r="F15" i="5"/>
  <c r="T15" i="5" s="1"/>
  <c r="R15" i="5"/>
  <c r="I15" i="5"/>
  <c r="W15" i="5"/>
  <c r="L24" i="5"/>
  <c r="N31" i="5"/>
  <c r="V33" i="5"/>
  <c r="X23" i="5"/>
  <c r="P23" i="5"/>
  <c r="H23" i="5"/>
  <c r="N23" i="5"/>
  <c r="W23" i="5"/>
  <c r="Z29" i="5"/>
  <c r="R29" i="5"/>
  <c r="J29" i="5"/>
  <c r="N29" i="5"/>
  <c r="W29" i="5"/>
  <c r="Q23" i="5"/>
  <c r="Z23" i="5"/>
  <c r="P29" i="5"/>
  <c r="Y29" i="5"/>
  <c r="X33" i="5"/>
  <c r="P33" i="5"/>
  <c r="H33" i="5"/>
  <c r="N33" i="5"/>
  <c r="W33" i="5"/>
  <c r="E23" i="6"/>
  <c r="E31" i="6"/>
  <c r="V22" i="5"/>
  <c r="N22" i="5"/>
  <c r="F22" i="5"/>
  <c r="O22" i="5" s="1"/>
  <c r="K23" i="5"/>
  <c r="T23" i="5"/>
  <c r="X28" i="5"/>
  <c r="P28" i="5"/>
  <c r="H28" i="5"/>
  <c r="N28" i="5"/>
  <c r="W28" i="5"/>
  <c r="K29" i="5"/>
  <c r="T29" i="5"/>
  <c r="I33" i="5"/>
  <c r="R33" i="5"/>
  <c r="Z35" i="5"/>
  <c r="R35" i="5"/>
  <c r="J35" i="5"/>
  <c r="N35" i="5"/>
  <c r="W35" i="5"/>
  <c r="L23" i="5"/>
  <c r="U23" i="5"/>
  <c r="O28" i="5"/>
  <c r="L29" i="5"/>
  <c r="U29" i="5"/>
  <c r="J33" i="5"/>
  <c r="S33" i="5"/>
  <c r="O35" i="5"/>
  <c r="E27" i="6"/>
  <c r="Y24" i="5" l="1"/>
  <c r="Y11" i="5"/>
  <c r="S11" i="5"/>
  <c r="U11" i="5"/>
  <c r="N8" i="5"/>
  <c r="H24" i="5"/>
  <c r="W24" i="5"/>
  <c r="I24" i="5"/>
  <c r="L31" i="5"/>
  <c r="W31" i="5"/>
  <c r="K24" i="5"/>
  <c r="H11" i="5"/>
  <c r="Q8" i="5"/>
  <c r="X18" i="5"/>
  <c r="P18" i="5"/>
  <c r="H18" i="5"/>
  <c r="Q18" i="5"/>
  <c r="E14" i="6"/>
  <c r="V18" i="5"/>
  <c r="M18" i="5"/>
  <c r="T18" i="5"/>
  <c r="F18" i="5"/>
  <c r="R18" i="5" s="1"/>
  <c r="N18" i="5"/>
  <c r="Y18" i="5"/>
  <c r="L18" i="5"/>
  <c r="J18" i="5"/>
  <c r="W18" i="5"/>
  <c r="M31" i="5"/>
  <c r="T31" i="5"/>
  <c r="T24" i="5"/>
  <c r="J24" i="5"/>
  <c r="Q11" i="5"/>
  <c r="F20" i="5"/>
  <c r="L20" i="5" s="1"/>
  <c r="E16" i="6"/>
  <c r="K20" i="5"/>
  <c r="X22" i="5"/>
  <c r="K15" i="5"/>
  <c r="L15" i="5"/>
  <c r="V31" i="5"/>
  <c r="M24" i="5"/>
  <c r="X11" i="5"/>
  <c r="Z11" i="5"/>
  <c r="U10" i="5"/>
  <c r="F10" i="5"/>
  <c r="K10" i="5" s="1"/>
  <c r="S10" i="5"/>
  <c r="E8" i="6"/>
  <c r="W10" i="5"/>
  <c r="Y10" i="5"/>
  <c r="U24" i="5"/>
  <c r="N24" i="5"/>
  <c r="S24" i="5"/>
  <c r="O24" i="5"/>
  <c r="W6" i="5"/>
  <c r="O6" i="5"/>
  <c r="E4" i="6"/>
  <c r="G4" i="6" s="1"/>
  <c r="V6" i="5"/>
  <c r="F6" i="5"/>
  <c r="N6" i="5" s="1"/>
  <c r="K6" i="5"/>
  <c r="Y6" i="5"/>
  <c r="Q6" i="5"/>
  <c r="I6" i="5"/>
  <c r="U6" i="5"/>
  <c r="X6" i="5"/>
  <c r="R6" i="5"/>
  <c r="M6" i="5"/>
  <c r="P6" i="5"/>
  <c r="L6" i="5"/>
  <c r="Z6" i="5"/>
  <c r="H6" i="5"/>
  <c r="Q24" i="5"/>
  <c r="U15" i="5"/>
  <c r="P31" i="5"/>
  <c r="F32" i="5"/>
  <c r="M32" i="5" s="1"/>
  <c r="W32" i="5"/>
  <c r="E25" i="6"/>
  <c r="Y32" i="5"/>
  <c r="P32" i="5"/>
  <c r="Q32" i="5"/>
  <c r="K32" i="5"/>
  <c r="V24" i="5"/>
  <c r="Z24" i="5"/>
  <c r="K11" i="5"/>
  <c r="I11" i="5"/>
  <c r="R31" i="5"/>
  <c r="V27" i="5"/>
  <c r="N27" i="5"/>
  <c r="F27" i="5"/>
  <c r="S27" i="5"/>
  <c r="J27" i="5"/>
  <c r="R27" i="5"/>
  <c r="I27" i="5"/>
  <c r="E21" i="6"/>
  <c r="X27" i="5"/>
  <c r="O27" i="5"/>
  <c r="U27" i="5"/>
  <c r="L27" i="5"/>
  <c r="W27" i="5"/>
  <c r="M27" i="5"/>
  <c r="T27" i="5"/>
  <c r="Q27" i="5"/>
  <c r="Y27" i="5"/>
  <c r="P27" i="5"/>
  <c r="K27" i="5"/>
  <c r="Z27" i="5"/>
  <c r="H27" i="5"/>
  <c r="Z9" i="5"/>
  <c r="R9" i="5"/>
  <c r="J9" i="5"/>
  <c r="Y9" i="5"/>
  <c r="P9" i="5"/>
  <c r="F9" i="5"/>
  <c r="X9" i="5" s="1"/>
  <c r="E7" i="6"/>
  <c r="U9" i="5"/>
  <c r="L9" i="5"/>
  <c r="S9" i="5"/>
  <c r="I9" i="5"/>
  <c r="N9" i="5"/>
  <c r="T9" i="5"/>
  <c r="Q9" i="5"/>
  <c r="M9" i="5"/>
  <c r="K9" i="5"/>
  <c r="H9" i="5"/>
  <c r="Y22" i="5"/>
  <c r="P22" i="5"/>
  <c r="T22" i="5"/>
  <c r="K22" i="5"/>
  <c r="R22" i="5"/>
  <c r="I22" i="5"/>
  <c r="U22" i="5"/>
  <c r="S22" i="5"/>
  <c r="Q22" i="5"/>
  <c r="M22" i="5"/>
  <c r="L22" i="5"/>
  <c r="J22" i="5"/>
  <c r="W22" i="5"/>
  <c r="Z22" i="5"/>
  <c r="H22" i="5"/>
  <c r="V15" i="5"/>
  <c r="N15" i="5"/>
  <c r="H15" i="5"/>
  <c r="S15" i="5"/>
  <c r="Q15" i="5"/>
  <c r="M15" i="5"/>
  <c r="Z15" i="5"/>
  <c r="J15" i="5"/>
  <c r="D26" i="5"/>
  <c r="D13" i="5"/>
  <c r="D7" i="5"/>
  <c r="D17" i="5"/>
  <c r="D51" i="3"/>
  <c r="E2" i="5" s="1"/>
  <c r="D14" i="5"/>
  <c r="Y31" i="5"/>
  <c r="X31" i="5"/>
  <c r="P24" i="5"/>
  <c r="T11" i="5"/>
  <c r="R11" i="5"/>
  <c r="J19" i="5"/>
  <c r="W19" i="5"/>
  <c r="N19" i="5"/>
  <c r="V19" i="5"/>
  <c r="E15" i="6"/>
  <c r="Y19" i="5"/>
  <c r="P19" i="5"/>
  <c r="L19" i="5"/>
  <c r="U19" i="5"/>
  <c r="F19" i="5"/>
  <c r="M19" i="5" s="1"/>
  <c r="O19" i="5"/>
  <c r="T19" i="5"/>
  <c r="Q19" i="5"/>
  <c r="T20" i="5" l="1"/>
  <c r="E20" i="6"/>
  <c r="F26" i="5"/>
  <c r="R26" i="5" s="1"/>
  <c r="F5" i="6"/>
  <c r="G5" i="6" s="1"/>
  <c r="M10" i="5"/>
  <c r="Q20" i="5"/>
  <c r="O20" i="5"/>
  <c r="T32" i="5"/>
  <c r="N32" i="5"/>
  <c r="I10" i="5"/>
  <c r="O10" i="5"/>
  <c r="V10" i="5"/>
  <c r="Y20" i="5"/>
  <c r="X20" i="5"/>
  <c r="S32" i="5"/>
  <c r="I32" i="5"/>
  <c r="V32" i="5"/>
  <c r="N10" i="5"/>
  <c r="X10" i="5"/>
  <c r="L10" i="5"/>
  <c r="I20" i="5"/>
  <c r="E11" i="6"/>
  <c r="S14" i="5"/>
  <c r="F14" i="5"/>
  <c r="I14" i="5" s="1"/>
  <c r="Q14" i="5"/>
  <c r="L14" i="5"/>
  <c r="X32" i="5"/>
  <c r="R32" i="5"/>
  <c r="J10" i="5"/>
  <c r="H10" i="5"/>
  <c r="T10" i="5"/>
  <c r="N20" i="5"/>
  <c r="H20" i="5"/>
  <c r="R20" i="5"/>
  <c r="I19" i="5"/>
  <c r="R19" i="5"/>
  <c r="S19" i="5"/>
  <c r="H32" i="5"/>
  <c r="L32" i="5"/>
  <c r="S6" i="5"/>
  <c r="P10" i="5"/>
  <c r="Q10" i="5"/>
  <c r="P20" i="5"/>
  <c r="Z20" i="5"/>
  <c r="J20" i="5"/>
  <c r="Z18" i="5"/>
  <c r="X19" i="5"/>
  <c r="V17" i="5"/>
  <c r="F17" i="5"/>
  <c r="K17" i="5" s="1"/>
  <c r="U17" i="5"/>
  <c r="L17" i="5"/>
  <c r="T17" i="5"/>
  <c r="E13" i="6"/>
  <c r="Z17" i="5"/>
  <c r="H17" i="5"/>
  <c r="X17" i="5"/>
  <c r="O17" i="5"/>
  <c r="S17" i="5"/>
  <c r="P17" i="5"/>
  <c r="J17" i="5"/>
  <c r="I17" i="5"/>
  <c r="Y17" i="5"/>
  <c r="H19" i="5"/>
  <c r="U7" i="5"/>
  <c r="L7" i="5"/>
  <c r="F7" i="5"/>
  <c r="M7" i="5" s="1"/>
  <c r="E5" i="6"/>
  <c r="V9" i="5"/>
  <c r="O9" i="5"/>
  <c r="Z32" i="5"/>
  <c r="U32" i="5"/>
  <c r="Z10" i="5"/>
  <c r="U20" i="5"/>
  <c r="M20" i="5"/>
  <c r="S20" i="5"/>
  <c r="U18" i="5"/>
  <c r="O18" i="5"/>
  <c r="I18" i="5"/>
  <c r="Z19" i="5"/>
  <c r="K19" i="5"/>
  <c r="X13" i="5"/>
  <c r="H13" i="5"/>
  <c r="W13" i="5"/>
  <c r="N13" i="5"/>
  <c r="V13" i="5"/>
  <c r="J13" i="5"/>
  <c r="Q13" i="5"/>
  <c r="E10" i="6"/>
  <c r="L13" i="5"/>
  <c r="K13" i="5"/>
  <c r="I13" i="5"/>
  <c r="U13" i="5"/>
  <c r="Y13" i="5"/>
  <c r="F13" i="5"/>
  <c r="M13" i="5" s="1"/>
  <c r="T13" i="5"/>
  <c r="R13" i="5"/>
  <c r="O13" i="5"/>
  <c r="W9" i="5"/>
  <c r="O32" i="5"/>
  <c r="J32" i="5"/>
  <c r="J6" i="5"/>
  <c r="T6" i="5"/>
  <c r="R10" i="5"/>
  <c r="W20" i="5"/>
  <c r="V20" i="5"/>
  <c r="S18" i="5"/>
  <c r="K18" i="5"/>
  <c r="T7" i="5" l="1"/>
  <c r="H7" i="5"/>
  <c r="H14" i="5"/>
  <c r="K14" i="5"/>
  <c r="X26" i="5"/>
  <c r="V26" i="5"/>
  <c r="F6" i="6"/>
  <c r="G6" i="6" s="1"/>
  <c r="F9" i="6"/>
  <c r="G9" i="6" s="1"/>
  <c r="P7" i="5"/>
  <c r="N14" i="5"/>
  <c r="M14" i="5"/>
  <c r="T14" i="5"/>
  <c r="K26" i="5"/>
  <c r="H26" i="5"/>
  <c r="M26" i="5"/>
  <c r="Z7" i="5"/>
  <c r="Z13" i="5"/>
  <c r="P13" i="5"/>
  <c r="R7" i="5"/>
  <c r="N7" i="5"/>
  <c r="X7" i="5"/>
  <c r="M17" i="5"/>
  <c r="Q17" i="5"/>
  <c r="N17" i="5"/>
  <c r="P14" i="5"/>
  <c r="V14" i="5"/>
  <c r="J26" i="5"/>
  <c r="Z26" i="5"/>
  <c r="N26" i="5"/>
  <c r="J14" i="5"/>
  <c r="O26" i="5"/>
  <c r="P26" i="5"/>
  <c r="W26" i="5"/>
  <c r="O7" i="5"/>
  <c r="S13" i="5"/>
  <c r="V7" i="5"/>
  <c r="K7" i="5"/>
  <c r="Q7" i="5"/>
  <c r="W17" i="5"/>
  <c r="U14" i="5"/>
  <c r="O14" i="5"/>
  <c r="R14" i="5"/>
  <c r="S26" i="5"/>
  <c r="Y26" i="5"/>
  <c r="L26" i="5"/>
  <c r="I7" i="5"/>
  <c r="J7" i="5"/>
  <c r="S7" i="5"/>
  <c r="Y7" i="5"/>
  <c r="R17" i="5"/>
  <c r="W14" i="5"/>
  <c r="X14" i="5"/>
  <c r="Z14" i="5"/>
  <c r="U26" i="5"/>
  <c r="I26" i="5"/>
  <c r="T26" i="5"/>
  <c r="W7" i="5"/>
  <c r="Y14" i="5"/>
  <c r="Q26" i="5"/>
  <c r="F7" i="6" l="1"/>
  <c r="G7" i="6" s="1"/>
  <c r="F10" i="6" s="1"/>
  <c r="G10" i="6" s="1"/>
  <c r="F8" i="6"/>
  <c r="G8" i="6" s="1"/>
  <c r="F13" i="6" s="1"/>
  <c r="G13" i="6" s="1"/>
  <c r="F14" i="6" l="1"/>
  <c r="G14" i="6" s="1"/>
  <c r="F16" i="6" s="1"/>
  <c r="G16" i="6" s="1"/>
  <c r="F15" i="6"/>
  <c r="G15" i="6" s="1"/>
  <c r="F12" i="6"/>
  <c r="G12" i="6" s="1"/>
  <c r="F11" i="6"/>
  <c r="G11" i="6" s="1"/>
  <c r="F17" i="6" s="1"/>
  <c r="G17" i="6" s="1"/>
  <c r="F18" i="6" s="1"/>
  <c r="G18" i="6" s="1"/>
  <c r="F20" i="6" l="1"/>
  <c r="G20" i="6" s="1"/>
  <c r="F24" i="6" s="1"/>
  <c r="G24" i="6" s="1"/>
  <c r="F25" i="6" s="1"/>
  <c r="G25" i="6" s="1"/>
  <c r="F19" i="6"/>
  <c r="G19" i="6" s="1"/>
  <c r="F21" i="6" l="1"/>
  <c r="G21" i="6" s="1"/>
  <c r="F22" i="6"/>
  <c r="G22" i="6" s="1"/>
  <c r="F23" i="6"/>
  <c r="G23" i="6" s="1"/>
  <c r="F26" i="6"/>
  <c r="G26" i="6" s="1"/>
  <c r="E29" i="6" s="1"/>
  <c r="I22" i="6" l="1"/>
  <c r="H22" i="6" s="1"/>
  <c r="J22" i="6" s="1"/>
  <c r="K22" i="6" s="1"/>
  <c r="G28" i="5" s="1"/>
  <c r="I15" i="6"/>
  <c r="H15" i="6" s="1"/>
  <c r="J15" i="6" s="1"/>
  <c r="K15" i="6" s="1"/>
  <c r="G19" i="5" s="1"/>
  <c r="I9" i="6"/>
  <c r="H9" i="6" s="1"/>
  <c r="J9" i="6" s="1"/>
  <c r="K9" i="6" s="1"/>
  <c r="G11" i="5" s="1"/>
  <c r="I26" i="6"/>
  <c r="H26" i="6" s="1"/>
  <c r="F29" i="6"/>
  <c r="I21" i="6"/>
  <c r="H21" i="6" s="1"/>
  <c r="I23" i="6" l="1"/>
  <c r="H23" i="6" s="1"/>
  <c r="J23" i="6" s="1"/>
  <c r="K23" i="6" s="1"/>
  <c r="G29" i="5" s="1"/>
  <c r="J26" i="6"/>
  <c r="K26" i="6" s="1"/>
  <c r="G33" i="5" s="1"/>
  <c r="I25" i="6"/>
  <c r="H25" i="6" s="1"/>
  <c r="I19" i="6"/>
  <c r="H19" i="6" s="1"/>
  <c r="J21" i="6"/>
  <c r="K21" i="6" s="1"/>
  <c r="G27" i="5" s="1"/>
  <c r="J19" i="6" l="1"/>
  <c r="K19" i="6" s="1"/>
  <c r="G24" i="5" s="1"/>
  <c r="J25" i="6"/>
  <c r="K25" i="6" s="1"/>
  <c r="G32" i="5" s="1"/>
  <c r="I24" i="6"/>
  <c r="H24" i="6" s="1"/>
  <c r="J24" i="6" l="1"/>
  <c r="K24" i="6" s="1"/>
  <c r="G31" i="5" s="1"/>
  <c r="I20" i="6"/>
  <c r="H20" i="6" s="1"/>
  <c r="J20" i="6" l="1"/>
  <c r="K20" i="6" s="1"/>
  <c r="G26" i="5" s="1"/>
  <c r="I18" i="6"/>
  <c r="H18" i="6" s="1"/>
  <c r="I16" i="6" l="1"/>
  <c r="H16" i="6" s="1"/>
  <c r="J18" i="6"/>
  <c r="K18" i="6" s="1"/>
  <c r="G23" i="5" s="1"/>
  <c r="I17" i="6"/>
  <c r="H17" i="6" s="1"/>
  <c r="J17" i="6" l="1"/>
  <c r="K17" i="6" s="1"/>
  <c r="G22" i="5" s="1"/>
  <c r="I12" i="6"/>
  <c r="H12" i="6" s="1"/>
  <c r="J12" i="6" s="1"/>
  <c r="K12" i="6" s="1"/>
  <c r="G15" i="5" s="1"/>
  <c r="I14" i="6"/>
  <c r="H14" i="6" s="1"/>
  <c r="J16" i="6"/>
  <c r="K16" i="6" s="1"/>
  <c r="G20" i="5" s="1"/>
  <c r="I11" i="6"/>
  <c r="H11" i="6" s="1"/>
  <c r="J11" i="6" l="1"/>
  <c r="K11" i="6" s="1"/>
  <c r="G14" i="5" s="1"/>
  <c r="I10" i="6"/>
  <c r="H10" i="6" s="1"/>
  <c r="J14" i="6"/>
  <c r="K14" i="6" s="1"/>
  <c r="G18" i="5" s="1"/>
  <c r="I13" i="6"/>
  <c r="H13" i="6" s="1"/>
  <c r="J13" i="6" s="1"/>
  <c r="K13" i="6" s="1"/>
  <c r="G17" i="5" s="1"/>
  <c r="I7" i="6" l="1"/>
  <c r="H7" i="6" s="1"/>
  <c r="I8" i="6"/>
  <c r="H8" i="6" s="1"/>
  <c r="J8" i="6" s="1"/>
  <c r="K8" i="6" s="1"/>
  <c r="G10" i="5" s="1"/>
  <c r="J10" i="6"/>
  <c r="K10" i="6" s="1"/>
  <c r="G13" i="5" s="1"/>
  <c r="J7" i="6" l="1"/>
  <c r="K7" i="6" s="1"/>
  <c r="G9" i="5" s="1"/>
  <c r="I6" i="6"/>
  <c r="H6" i="6" s="1"/>
  <c r="J6" i="6" l="1"/>
  <c r="K6" i="6" s="1"/>
  <c r="G8" i="5" s="1"/>
  <c r="I5" i="6"/>
  <c r="H5" i="6" s="1"/>
  <c r="J5" i="6" l="1"/>
  <c r="K5" i="6" s="1"/>
  <c r="G7" i="5" s="1"/>
  <c r="I4" i="6"/>
  <c r="H4" i="6" s="1"/>
  <c r="J4" i="6" s="1"/>
  <c r="E32" i="6" l="1"/>
  <c r="K4" i="6"/>
  <c r="G6" i="5" l="1"/>
  <c r="E30" i="6"/>
</calcChain>
</file>

<file path=xl/sharedStrings.xml><?xml version="1.0" encoding="utf-8"?>
<sst xmlns="http://schemas.openxmlformats.org/spreadsheetml/2006/main" count="775" uniqueCount="542">
  <si>
    <t>ANNEXE 4 — Pilotage de création (saisie unique)</t>
  </si>
  <si>
    <t>⚠️ Saisissez UNIQUEMENT dans les cellules JAUNES. Les autres sont calculées automatiquement.</t>
  </si>
  <si>
    <t>Synthèse (auto)</t>
  </si>
  <si>
    <t>Tâches terminées</t>
  </si>
  <si>
    <t>Avancement</t>
  </si>
  <si>
    <t>Tâches bloquantes</t>
  </si>
  <si>
    <t>1) Profil du projet</t>
  </si>
  <si>
    <t>Paramètre</t>
  </si>
  <si>
    <t>Valeur (à saisir)</t>
  </si>
  <si>
    <t>Unité</t>
  </si>
  <si>
    <t>Commentaire / aide</t>
  </si>
  <si>
    <t>Nom du porteur de projet</t>
  </si>
  <si>
    <t>Monsieur X</t>
  </si>
  <si>
    <t>Repris dans '2-Mon Projet'</t>
  </si>
  <si>
    <t>Nom du cabinet (NON intégré au mémoire)</t>
  </si>
  <si>
    <t>Cabinet X Expertise</t>
  </si>
  <si>
    <t>⚠️ Interdit sur la page de garde du mémoire</t>
  </si>
  <si>
    <t>Région d’implantation</t>
  </si>
  <si>
    <t>Ile-de-France</t>
  </si>
  <si>
    <t>Type de création</t>
  </si>
  <si>
    <t>Creation ex-nihilo</t>
  </si>
  <si>
    <t>Ex-nihilo / Reprise / Association / Fusion</t>
  </si>
  <si>
    <t>Forme juridique</t>
  </si>
  <si>
    <t>SASU</t>
  </si>
  <si>
    <t>SASU, SARL, SELARL…</t>
  </si>
  <si>
    <t>Capital social prévu</t>
  </si>
  <si>
    <t>EUR</t>
  </si>
  <si>
    <t>Date création société</t>
  </si>
  <si>
    <t>JJ/MM/AAAA</t>
  </si>
  <si>
    <t>Date début réflexion (M-6)</t>
  </si>
  <si>
    <t>Date cible 1er client</t>
  </si>
  <si>
    <t>Niveau numérique cible</t>
  </si>
  <si>
    <t>Avance (100% numerique)</t>
  </si>
  <si>
    <t>Basique / Intermédiaire / Avancé</t>
  </si>
  <si>
    <t>Votre expérience outils</t>
  </si>
  <si>
    <t>Confirme</t>
  </si>
  <si>
    <t>Débutant / Confirmé / Expert</t>
  </si>
  <si>
    <t>Logiciel comptable cible</t>
  </si>
  <si>
    <t>Pennylane</t>
  </si>
  <si>
    <t>2) Ressources humaines &amp; objectifs commerciaux</t>
  </si>
  <si>
    <t>Objectif collaborateurs à 12 mois</t>
  </si>
  <si>
    <t>0 = mode solo</t>
  </si>
  <si>
    <t>Mois démarrage recrutement (M+)</t>
  </si>
  <si>
    <t>Ex : 6 = M+6</t>
  </si>
  <si>
    <t>Profil recherché</t>
  </si>
  <si>
    <t>Collaborateur junior</t>
  </si>
  <si>
    <t>Budget recrutement (marque employeur)</t>
  </si>
  <si>
    <t>LinkedIn / jobboards / cabinet de chasse</t>
  </si>
  <si>
    <t>Objectif clients M+3</t>
  </si>
  <si>
    <t>Objectif clients M+6</t>
  </si>
  <si>
    <t>Objectif clients M+12</t>
  </si>
  <si>
    <t>Honoraire moyen cible (€/an)</t>
  </si>
  <si>
    <t>EUR/an</t>
  </si>
  <si>
    <t>Spécialisation</t>
  </si>
  <si>
    <t>Startups / TPE innovantes</t>
  </si>
  <si>
    <t>3) Budget &amp; financement</t>
  </si>
  <si>
    <t>Apport personnel</t>
  </si>
  <si>
    <t>Emprunt prévu</t>
  </si>
  <si>
    <t>Charges fixes mensuelles</t>
  </si>
  <si>
    <t>EUR/mois</t>
  </si>
  <si>
    <t>Assurances, outils…</t>
  </si>
  <si>
    <t>Trésorerie de sécurité (mois)</t>
  </si>
  <si>
    <t>mois</t>
  </si>
  <si>
    <t>Minimum recommandé : 6</t>
  </si>
  <si>
    <t>4) Suivi — statut des tâches (saisie = colonne Statut)</t>
  </si>
  <si>
    <t>ID</t>
  </si>
  <si>
    <t>Tâche</t>
  </si>
  <si>
    <t>Statut</t>
  </si>
  <si>
    <t>Commentaire</t>
  </si>
  <si>
    <t>0.1</t>
  </si>
  <si>
    <t>Autodiagnostic maturité</t>
  </si>
  <si>
    <t>Terminé</t>
  </si>
  <si>
    <t>Diagnostic maturité (Annexe 2) réalisé : score 3,2/5.
Bloquants : DPA prestataires, MFA, sauvegarde externalisée.
Actions : charte SI + registre + MFA + PRA.</t>
  </si>
  <si>
    <t>0.2</t>
  </si>
  <si>
    <t>Étude marché</t>
  </si>
  <si>
    <t>Étude marché 2025-2026 : taille du marché, concurrence (cabinet en ligne), prix cible.
Cible : TPE/startups ; opportunité e-facture.
Hypothèses intégrées au prévisionnel.</t>
  </si>
  <si>
    <t>0.3</t>
  </si>
  <si>
    <t>SWOT + BMC</t>
  </si>
  <si>
    <t>SWOT chiffrée et sourcée + BMC validé.
Positionnement : cabinet 100% numérique ; onboarding 48h ; offre packagée.
Décision : focus sur récurrence + conseil.</t>
  </si>
  <si>
    <t>0.4</t>
  </si>
  <si>
    <t>Prévisionnel financier</t>
  </si>
  <si>
    <t>Prévisionnel construit (3 scénarios) + plan de financement.
Trésorerie de sécurité = 6 mois atteinte.
Seuil de rentabilité estimé à M+7 ; suivi mensuel vs réalisé.</t>
  </si>
  <si>
    <t>0.5</t>
  </si>
  <si>
    <t>Architecture SI</t>
  </si>
  <si>
    <t>Architecture SI validée avant tout achat : outil comptable + collecte + banque + signature + coffre-fort.
Critères : RGPD, sécurité, interopérabilité (API).
Tests pilotes réalisés sur 3 dossiers.</t>
  </si>
  <si>
    <t>0.6</t>
  </si>
  <si>
    <t>Formation IA &amp; Data (AI Act)</t>
  </si>
  <si>
    <t>AI literacy (AI Act art.4) : formation interne 4h + procédure d’usage.
Règles : anonymisation, interdiction de dépôt de données sensibles, journalisation.
Sensibilisation équipe (phishing/IA).</t>
  </si>
  <si>
    <t>1.1</t>
  </si>
  <si>
    <t>Statuts + immatriculation</t>
  </si>
  <si>
    <t>SASU : statuts finalisés, immatriculation obtenue, Kbis archivé.
Domiciliation + CGV + modèles de lettres de mission prêts.</t>
  </si>
  <si>
    <t>1.2</t>
  </si>
  <si>
    <t>Inscription à l’Ordre</t>
  </si>
  <si>
    <t>Inscription à l’Ordre : dossier complet déposé ; validation obtenue sous 7 semaines.
RCP + organisation + procédures LCB-FT jointes.</t>
  </si>
  <si>
    <t>1.3</t>
  </si>
  <si>
    <t>Assurance RCP</t>
  </si>
  <si>
    <t>Assurance RCP souscrite (effet 01/01/2025).
Attestation enregistrée + revue annuelle planifiée.</t>
  </si>
  <si>
    <t>2.1</t>
  </si>
  <si>
    <t>Déploiement logiciel</t>
  </si>
  <si>
    <t>Déploiement logiciel comptable : paramétrage (plan comptable, modèles), import tests, connecteurs.
3 dossiers pilotes → ajustements avant généralisation.</t>
  </si>
  <si>
    <t>2.2</t>
  </si>
  <si>
    <t>RGPD</t>
  </si>
  <si>
    <t>RGPD : registre traitements, mentions d’information, politique confidentialité.
Contrats sous-traitants (DPA), procédures droits personnes.
Référentiel conservations + coffre-fort.</t>
  </si>
  <si>
    <t>2.3</t>
  </si>
  <si>
    <t>Cybersécurité</t>
  </si>
  <si>
    <t>Cybersécurité : MFA partout, gestionnaire MDP, sauvegarde 3-2-1, PRA.
Durcissement postes + sensibilisation phishing.
Contrôle accès et droits.</t>
  </si>
  <si>
    <t>2.4</t>
  </si>
  <si>
    <t>Choix PA (ex-PDP) / portail facture électronique</t>
  </si>
  <si>
    <t>Facturation électronique : plateforme/solution désignée + tests réception OK.
Procédure client (routage, e-reporting) + veille immatriculation.
Objectif : conformité avant 01/09/2026.</t>
  </si>
  <si>
    <t>3.1</t>
  </si>
  <si>
    <t>Site web</t>
  </si>
  <si>
    <t>Site web publié : offre claire, formulaires leads, pages légales (mentions/RGPD).
Début SEO (contenus + avis clients).</t>
  </si>
  <si>
    <t>3.2</t>
  </si>
  <si>
    <t>Onboarding clients</t>
  </si>
  <si>
    <t>Onboarding 100% digital stabilisé : KYC/LCB-FT, lettre de mission, e-sign, collecte pièces.
Paramétrage accès client + checklist démarrage.
Délai cible : 48h.</t>
  </si>
  <si>
    <t>3.3</t>
  </si>
  <si>
    <t>Process standardisés</t>
  </si>
  <si>
    <t>Process standardisés : checklists production, revues, contrôle qualité.
SLA et reporting mensuel ; templates mails/relances.</t>
  </si>
  <si>
    <t>4.1</t>
  </si>
  <si>
    <t>Développement clients</t>
  </si>
  <si>
    <t>Développement clients : 18 clients signés à M+12 (objectif 15).
Panier moyen ≈ 290€/mois ; taux conversion ≈ 22%.
Refus des dossiers non alignés (risque/temps).</t>
  </si>
  <si>
    <t>4.2</t>
  </si>
  <si>
    <t>Automatisations (ROI)</t>
  </si>
  <si>
    <t>Automatisations : OCR/collecte = 65% écritures ; rapprochement bancaire auto.
Gain estimé : 35h/mois ; baisse du risque d’erreur.
Suivi KPI productivité.</t>
  </si>
  <si>
    <t>4.3</t>
  </si>
  <si>
    <t>Audit cybersécurité (Label Cyber)</t>
  </si>
  <si>
    <t>Audit cybersécurité réalisé (externe) + plan de remédiation.
Score après actions : 82/100.
Revue semestrielle programmée.</t>
  </si>
  <si>
    <t>4.4</t>
  </si>
  <si>
    <t>Offre « Conseil e-facture »</t>
  </si>
  <si>
    <t>Offre conseil e-facture packagée (audit + accompagnement).
6 missions vendues ; CA conseil ≈ 12 k€.
Intégration à l’offre récurrente.</t>
  </si>
  <si>
    <t>5.1</t>
  </si>
  <si>
    <t>Recrutement</t>
  </si>
  <si>
    <t>Recrutement : 1 collaborateur junior recruté à M+8.
Process recrutement (fiche de poste, tests, entretien) formalisé.</t>
  </si>
  <si>
    <t>5.2</t>
  </si>
  <si>
    <t>Intégration collaborateur</t>
  </si>
  <si>
    <t>Intégration collaborateur : parcours 4 semaines + buddy.
Autonomie 70% sur dossiers récurrents ; eNPS interne +28.
Contrôle qualité renforcé 2 mois.</t>
  </si>
  <si>
    <t>5.3</t>
  </si>
  <si>
    <t>Bilan annuel</t>
  </si>
  <si>
    <t>Bilan annuel : marge nette positive + plan Année 2.
Décisions : segmentation clients, montée en gamme, renfort conseil.</t>
  </si>
  <si>
    <t>6.1</t>
  </si>
  <si>
    <t>Formation continue (récurrente)</t>
  </si>
  <si>
    <t>Formation continue : 46h (outils, RGPD, IA, sécurité).
Plan 2026 validé (compétences + conformité) ; suivi semestriel.</t>
  </si>
  <si>
    <t>ANNEXE 4 - DIAGRAMME DE GANTT INTERACTIF</t>
  </si>
  <si>
    <t>Outil de pilotage strategique pour la creation d'un cabinet d'expertise comptable 100% numerique</t>
  </si>
  <si>
    <t>1. OBJECTIF DE CET OUTIL</t>
  </si>
  <si>
    <t>Cet outil n'est PAS un simple planning. C'est un OUTIL D'ARBITRAGE du dirigeant-expert-comptable qui permet de :</t>
  </si>
  <si>
    <t xml:space="preserve">   PILOTER      : Visualiser ou vous en etes dans votre projet de creation</t>
  </si>
  <si>
    <t xml:space="preserve">   DECIDER      : Savoir quoi faire MAINTENANT et quoi EVITER</t>
  </si>
  <si>
    <t xml:space="preserve">   SECURISER    : Identifier les risques majeurs par periode</t>
  </si>
  <si>
    <t xml:space="preserve">   ARBITRER     : Conditionner les decisions RH/SI aux seuils financiers</t>
  </si>
  <si>
    <t>Le Gantt est pilote par l'economie : le passage d'une periode a l'autre depend de criteres financiers, pas de dates.</t>
  </si>
  <si>
    <t>2. COMMENT UTILISER CET OUTIL (5 ETAPES)</t>
  </si>
  <si>
    <t>ETAPE 1 : Remplissez l'onglet '2-Mon Projet' avec VOS donnees personnelles</t>
  </si>
  <si>
    <t xml:space="preserve">          -&gt; Toutes les cellules JAUNES doivent etre completees</t>
  </si>
  <si>
    <t xml:space="preserve">          -&gt; Vos choix impactent automatiquement TOUS les autres onglets</t>
  </si>
  <si>
    <t>ETAPE 2 : Consultez l'onglet '3-Periodes' pour voir les 4 phases de votre projet</t>
  </si>
  <si>
    <t xml:space="preserve">          -&gt; Chaque periode a ses objectifs, interdictions, et conditions de passage</t>
  </si>
  <si>
    <t xml:space="preserve">          -&gt; Les indicateurs GO/NO GO vous guident</t>
  </si>
  <si>
    <t>ETAPE 3 : Utilisez l'onglet '4-Gantt' pour visualiser le planning</t>
  </si>
  <si>
    <t xml:space="preserve">          -&gt; Les barres se positionnent automatiquement</t>
  </si>
  <si>
    <t xml:space="preserve">          -&gt; Le chemin critique est en ROUGE</t>
  </si>
  <si>
    <t>ETAPE 4 : Suivez l'avancement dans l'onglet '5-Suivi'</t>
  </si>
  <si>
    <t xml:space="preserve">          -&gt; Mettez a jour le STATUT de chaque tache</t>
  </si>
  <si>
    <t xml:space="preserve">          -&gt; L'avancement global est calcule automatiquement</t>
  </si>
  <si>
    <t>ETAPE 5 : Verifiez les alertes dans l'onglet '6-Alertes'</t>
  </si>
  <si>
    <t xml:space="preserve">          -&gt; Messages personnalises selon votre profil</t>
  </si>
  <si>
    <t xml:space="preserve">          -&gt; Erreurs classiques a eviter</t>
  </si>
  <si>
    <t>3. LOGIQUE DE L'OUTIL : LE TEMPS DEPEND DE LA FINANCE</t>
  </si>
  <si>
    <t>CE GANTT N'EST PAS UN CALENDRIER FIXE. Les passages de periode dependent de CONDITIONS :</t>
  </si>
  <si>
    <t xml:space="preserve">   Avant M0 -&gt; M0      : Inscription Ordre obtenue + Assurance RCP + Outils operationnels</t>
  </si>
  <si>
    <t xml:space="preserve">   M0 -&gt; M+3 -&gt; M+6    : CA stabilise + Tresorerie &gt;= 3 mois + Process onboarding OK</t>
  </si>
  <si>
    <t xml:space="preserve">   M+6 -&gt; M+12         : Marge unitaire positive + CAF positive 2 mois + Infrastructure e-facture opérationnelle (PA (ex-PDP)/OD connecté)</t>
  </si>
  <si>
    <t xml:space="preserve">   Recrutement         : UNIQUEMENT si seuils financiers atteints (pas avant)</t>
  </si>
  <si>
    <t>NOUVEAU 2025-2027 : deux dates BLOQUANTES s’ajoutent aux seuils financiers.</t>
  </si>
  <si>
    <t>CONSEQUENCE : Si vos seuils ne sont pas atteints, vous restez dans la periode actuelle.</t>
  </si>
  <si>
    <t xml:space="preserve">              Le Gantt s'adapte a VOTRE rythme, pas l'inverse.</t>
  </si>
  <si>
    <t xml:space="preserve"> - 02/02/2025 : AI Act — AI literacy (formation/compétences IA) applicable
 - 01/09/2026 : Facture électronique — réception obligatoire (choix PA (ex-PDP)/portail requis)</t>
  </si>
  <si>
    <t>4. LÉGENDE DES COULEURS</t>
  </si>
  <si>
    <t>Ce fichier utilise une palette de couleurs standardisée :</t>
  </si>
  <si>
    <t xml:space="preserve">   </t>
  </si>
  <si>
    <t>Jaune vif</t>
  </si>
  <si>
    <t>→ SAISIE UTILISATEUR : Cellules à remplir manuellement</t>
  </si>
  <si>
    <t>Bleu clair</t>
  </si>
  <si>
    <t>→ CALCULS AUTOMATIQUES : Ne pas modifier</t>
  </si>
  <si>
    <t>Vert clair</t>
  </si>
  <si>
    <t>→ CONDITIONS / VALIDATIONS : Points de passage</t>
  </si>
  <si>
    <t>Gris clair</t>
  </si>
  <si>
    <t>→ STRUCTURE : Lignes de phase et en-têtes</t>
  </si>
  <si>
    <t>Bleu foncé</t>
  </si>
  <si>
    <t>→ TITRES PRINCIPAUX : En-têtes de colonnes</t>
  </si>
  <si>
    <t>Rouge clair</t>
  </si>
  <si>
    <t>→ ALERTES : Points d'attention majeurs</t>
  </si>
  <si>
    <t>Jaune pâle</t>
  </si>
  <si>
    <t>→ STATUT EN ATTENTE : Tâches à réaliser</t>
  </si>
  <si>
    <t>Rouge vif</t>
  </si>
  <si>
    <t>→ CHEMIN CRITIQUE : Aucun retard toléré</t>
  </si>
  <si>
    <t>5. COULEURS DES PHASES (Gantt)</t>
  </si>
  <si>
    <t>Phase 0</t>
  </si>
  <si>
    <t>Préparation</t>
  </si>
  <si>
    <t>Phase 1</t>
  </si>
  <si>
    <t>Administratif</t>
  </si>
  <si>
    <t>Phase 2</t>
  </si>
  <si>
    <t>SI &amp; Conformité</t>
  </si>
  <si>
    <t>Phase 3</t>
  </si>
  <si>
    <t>Lancement</t>
  </si>
  <si>
    <t>Phase 4</t>
  </si>
  <si>
    <t>Industrialisation</t>
  </si>
  <si>
    <t>Phase 5</t>
  </si>
  <si>
    <t>Structuration</t>
  </si>
  <si>
    <t>Phase 6</t>
  </si>
  <si>
    <t>Conformité continue</t>
  </si>
  <si>
    <t xml:space="preserve">   Cybersecurite      : Sauvegardes, antivirus, MFA (obligation de moyens)</t>
  </si>
  <si>
    <t xml:space="preserve">   Facturation élec.   : 01/09/2026 réception obligatoire (toutes entreprises) ; 01/09/2026 émission GE/ETI ; 01/09/2027 émission PME/micro</t>
  </si>
  <si>
    <t xml:space="preserve">   Assurance RCP      : Obligatoire pour exercer</t>
  </si>
  <si>
    <t xml:space="preserve">   AI Act (UE 2024/1689): AI literacy applicable 02/02/2025 ; applicabilité générale 02/08/2026 (selon calendrier UE)</t>
  </si>
  <si>
    <t>CONCLUSION</t>
  </si>
  <si>
    <t>Le diagramme de Gantt n'est pas un planning fige mais un OUTIL DE PILOTAGE STRATEGIQUE,</t>
  </si>
  <si>
    <t>permettant d'arbitrer les decisions de creation du cabinet en fonction des periodes</t>
  </si>
  <si>
    <t>et des contraintes financieres, organisationnelles et humaines.</t>
  </si>
  <si>
    <t>CAS D’ILLUSTRATION — CABINET DE MONSIEUR X (UTILISATION 100% DE L’OUTIL)</t>
  </si>
  <si>
    <t>Contexte : création ex-nihilo d’un cabinet 100% numérique (SASU) en Île-de-France, positionné sur les startups/TPE innovantes. L’outil a été utilisé comme cadre de décision (et non comme simple planning) pour séquencer les actions et verrouiller les prérequis avant le lancement commercial.</t>
  </si>
  <si>
    <t>Données de départ (onglet « 0-Saisie ») : Budget total 50 k€ ; trésorerie disponible 20 k€ ; charges fixes 3 k€/mois ; objectif 15 clients à M+12 ; panier moyen visé 3 000 €/an. Jalons : début de réflexion 01/07/2024 (M-6) ; création société 01/01/2025 (M0) ; 1er client 01/02/2025.</t>
  </si>
  <si>
    <t>Résultats à fin M+12 : 18 clients signés (objectif dépassé) ; automatisation forte (OCR/flux ≈ 65% des écritures) ; gain productif estimé 35h/mois ; offre conseil e‑facture packagée (6 missions, ≈12 k€). Le recrutement a été volontairement décalé à M+8, une fois les process et contrôles qualité stabilisés.</t>
  </si>
  <si>
    <t>Lecture PERT/Gantt : les tâches du chemin critique ont été traitées en priorité (inscription à l’Ordre, RCP, RGPD/cybersécurité, choix plateforme/solution de facturation électronique, onboarding client). La mise en production a démarré sur 3 dossiers pilotes, permettant d’ajuster l’architecture SI avant généralisation.</t>
  </si>
  <si>
    <t>Enseignements : (1) l’architecture SI a été validée avant tout engagement fournisseur, évitant des coûts et migrations ; (2) le RGPD/cybersécurité ont été traités comme « bloquants » avant l’entrée en relation, sécurisant la confiance à distance ; (3) la dynamique commerciale a été conditionnée à la capacité opérationnelle (process), ce qui a réduit les retours clients et le risque de non‑qualité.</t>
  </si>
  <si>
    <t>MON PROJET DE CREATION DE CABINET</t>
  </si>
  <si>
    <t>Remplissez TOUTES les cellules JAUNES. Ces donnees pilotent l'ensemble de l'outil.</t>
  </si>
  <si>
    <t>⚠️ Saisie uniquement dans l’onglet '0-Saisie' (cellules jaunes).</t>
  </si>
  <si>
    <t>1. IDENTITE DU PROJET</t>
  </si>
  <si>
    <t>Nom du cabinet</t>
  </si>
  <si>
    <t>Region d'implantation</t>
  </si>
  <si>
    <t>2. TYPE DE CREATION</t>
  </si>
  <si>
    <t>Type de creation</t>
  </si>
  <si>
    <t>Impact: duree projet</t>
  </si>
  <si>
    <t>Capital social prevu</t>
  </si>
  <si>
    <t>3. CALENDRIER</t>
  </si>
  <si>
    <t>Date creation societe (M0)</t>
  </si>
  <si>
    <t>Date debut reflexion (M-6)</t>
  </si>
  <si>
    <t>4. AMBITION NUMERIQUE</t>
  </si>
  <si>
    <t>Niveau numerique cible</t>
  </si>
  <si>
    <t>Impact: duree Phase SI</t>
  </si>
  <si>
    <t>Votre experience outils</t>
  </si>
  <si>
    <t>Impact: toutes durees</t>
  </si>
  <si>
    <t>5. RESSOURCES HUMAINES</t>
  </si>
  <si>
    <t>Objectif collaborateurs 12 mois</t>
  </si>
  <si>
    <t>0 = Mode solo</t>
  </si>
  <si>
    <t>Mois demarrage recrutement</t>
  </si>
  <si>
    <t>Ex: 6 = M+6</t>
  </si>
  <si>
    <t>Profil recherche</t>
  </si>
  <si>
    <t>Budget Recrutement (Marque Employeur)</t>
  </si>
  <si>
    <t>Prévoir LinkedIn / jobboards</t>
  </si>
  <si>
    <t>6. OBJECTIFS COMMERCIAUX</t>
  </si>
  <si>
    <t>Honoraire moyen cible (EUR/an)</t>
  </si>
  <si>
    <t>Specialisation</t>
  </si>
  <si>
    <t>7. BUDGET &amp; FINANCEMENT</t>
  </si>
  <si>
    <t>Emprunt prevu</t>
  </si>
  <si>
    <t>Loyer, assurances, outils...</t>
  </si>
  <si>
    <t>Tresorerie securite (mois)</t>
  </si>
  <si>
    <t>Minimum recommande: 6 mois</t>
  </si>
  <si>
    <t>Coût réel collaborateur DCG/an (minima 2026)</t>
  </si>
  <si>
    <t>Accord n°48 (15/12/2025) : +2,9% → Salaire min. 26 548 €</t>
  </si>
  <si>
    <t>À intégrer dans trésorerie de sécurité</t>
  </si>
  <si>
    <t>Source: Accord n°48 IDCC 787 (15/12/2025), +2,9%</t>
  </si>
  <si>
    <t>8. PARAMETRES CALCULES (automatique)</t>
  </si>
  <si>
    <t>Coef. duree (type creation)</t>
  </si>
  <si>
    <t>ex-nihilo=1 / reprise=0.7</t>
  </si>
  <si>
    <t>Coef. duree (experience)</t>
  </si>
  <si>
    <t>debutant=1.3 / expert=0.9</t>
  </si>
  <si>
    <t>Coef. SI (niveau numerique)</t>
  </si>
  <si>
    <t>basique=0.7 / avance=1.3</t>
  </si>
  <si>
    <t>Phase RH active</t>
  </si>
  <si>
    <t>Budget total disponible</t>
  </si>
  <si>
    <t>Tresorerie securite cible</t>
  </si>
  <si>
    <t>CA cible Annee 1</t>
  </si>
  <si>
    <t>Duree totale projet (mois)</t>
  </si>
  <si>
    <t>9. RÉFÉRENTIEL SALARIAL 2026 (IDCC 787)</t>
  </si>
  <si>
    <t>Poste</t>
  </si>
  <si>
    <t>Brut annuel</t>
  </si>
  <si>
    <t>Coût chargé (x1,45)</t>
  </si>
  <si>
    <t>Assistant comptable (Bac)</t>
  </si>
  <si>
    <t>Collaborateur DCG (niveau 4)</t>
  </si>
  <si>
    <t>Chef de mission (niveau 3)</t>
  </si>
  <si>
    <t>EC inscrit (indice 40)</t>
  </si>
  <si>
    <t>Source : Compta-Online (janvier 2026) — minima conventionnels cabinets d’EC et de CAC.</t>
  </si>
  <si>
    <t>PÉRIODES DE DÉCISION — Jalons et Conditions de Passage</t>
  </si>
  <si>
    <t>Chaque période a ses objectifs et ses conditions de passage. Le non-respect d'une condition bloque le passage à la période suivante.</t>
  </si>
  <si>
    <t>🔵 PÉRIODE 1 : AVANT M0 — Préparation</t>
  </si>
  <si>
    <t>Objectif principal</t>
  </si>
  <si>
    <t>Valider la faisabilité du projet et préparer tous les pré-requis</t>
  </si>
  <si>
    <t>CA cible</t>
  </si>
  <si>
    <t>0 € (pas d'activité)</t>
  </si>
  <si>
    <t>Trésorerie mini</t>
  </si>
  <si>
    <t>Charge dominante</t>
  </si>
  <si>
    <t>Réflexion stratégique (80%) + Administratif (20%)</t>
  </si>
  <si>
    <t>Décision RH</t>
  </si>
  <si>
    <t>❌ INTERDIT — Aucun recrutement avant l'inscription à l'Ordre</t>
  </si>
  <si>
    <t>Risque majeur</t>
  </si>
  <si>
    <t>Sous-estimation des délais administratifs (Ordre = 6 semaines)</t>
  </si>
  <si>
    <t>Erreur à éviter</t>
  </si>
  <si>
    <t>Commander les outils avant validation de l'architecture SI</t>
  </si>
  <si>
    <t>Action prioritaire</t>
  </si>
  <si>
    <t>Valider architecture SI + Déposer dossier Ordre</t>
  </si>
  <si>
    <t>Condition passage M0</t>
  </si>
  <si>
    <t>Inscription Ordre OBTENUE + Assurance RCP active + RGPD OK</t>
  </si>
  <si>
    <t>🟢 PÉRIODE 2 : M0 → M+3 — Lancement</t>
  </si>
  <si>
    <t>CA cible mensuel</t>
  </si>
  <si>
    <t>Faible / instable (construction portefeuille)</t>
  </si>
  <si>
    <t>≥ 3 mois de charges fixes</t>
  </si>
  <si>
    <t>Production (40%) + Commercial (40%) + Onboarding (20%)</t>
  </si>
  <si>
    <t>❌ INTERDIT — Recruter = absorber le stress au détriment de la qualité</t>
  </si>
  <si>
    <t>Surcharge dirigeant → qualité dégradée</t>
  </si>
  <si>
    <t>Recruter trop tôt / Accepter n'importe quel client</t>
  </si>
  <si>
    <t>Standardiser process onboarding + qualifier les prospects</t>
  </si>
  <si>
    <t>Condition passage M+3</t>
  </si>
  <si>
    <t>Clients signés + Trésorerie OK + Process onboarding opérationnel + PA connectée</t>
  </si>
  <si>
    <t>🟠 PÉRIODE 3 : M+3 → M+6 — Industrialisation</t>
  </si>
  <si>
    <t>Stabilisation (régularité des entrées)</t>
  </si>
  <si>
    <t>≥ 4 mois de charges fixes</t>
  </si>
  <si>
    <t>Production (60%) + Développement (30%) + Admin (10%)</t>
  </si>
  <si>
    <t>Désorganisation / Qualité si croissance trop rapide</t>
  </si>
  <si>
    <t>Changer d'outil en pleine montée en charge</t>
  </si>
  <si>
    <t>Industrialiser la production (process, templates, contrôles)</t>
  </si>
  <si>
    <t>Condition passage M+6</t>
  </si>
  <si>
    <t>Marge positive + PA (ex-PDP) connectée et opérationnelle + Tests réception factures OK</t>
  </si>
  <si>
    <t>🟣 PÉRIODE 4 : M+6 → M+12 — Structuration</t>
  </si>
  <si>
    <t>≥ 6 mois de charges (incluant salaire si recrutement)</t>
  </si>
  <si>
    <t>Production (50%) + Management (25%) + Développement (25%)</t>
  </si>
  <si>
    <t>Trésorerie (si recrutement mal calibré)</t>
  </si>
  <si>
    <t>Recruter sans process stabilisé / déléguer sans contrôle / Ignorer échéance AI Act 02/08/2026 (formation IA obligatoire)</t>
  </si>
  <si>
    <t>Structurer la délégation et le contrôle qualité</t>
  </si>
  <si>
    <t>Condition fin M+12</t>
  </si>
  <si>
    <t>Bilan annuel positif + Vision Année 2 définie</t>
  </si>
  <si>
    <t>📊 LIEN AVEC LE PRÉVISIONNEL (Annexe 7)</t>
  </si>
  <si>
    <t>Le passage à la période suivante suppose de vérifier les hypothèses du prévisionnel. Un écart &gt; 20% impose une révision.</t>
  </si>
  <si>
    <t>Le recrutement n'est envisagé qu'après stabilisation de la marge unitaire (Période 3 terminée).</t>
  </si>
  <si>
    <t>Le Gantt est pilote par l'economie : si les seuils ne sont pas atteints, rester en periode actuelle.</t>
  </si>
  <si>
    <t>DIAGRAMME DE GANTT - Planning interactif</t>
  </si>
  <si>
    <t>Type:</t>
  </si>
  <si>
    <t>Duree:</t>
  </si>
  <si>
    <t>RH:</t>
  </si>
  <si>
    <t>Phase</t>
  </si>
  <si>
    <t>Tache</t>
  </si>
  <si>
    <t>Sem.</t>
  </si>
  <si>
    <t>Deb</t>
  </si>
  <si>
    <t>Fin</t>
  </si>
  <si>
    <t>Crit</t>
  </si>
  <si>
    <t>M-6</t>
  </si>
  <si>
    <t>M-5</t>
  </si>
  <si>
    <t>M-4</t>
  </si>
  <si>
    <t>M-3</t>
  </si>
  <si>
    <t>M-2</t>
  </si>
  <si>
    <t>M-1</t>
  </si>
  <si>
    <t>M0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</si>
  <si>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</si>
  <si>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</si>
  <si>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</si>
  <si>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</si>
  <si>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</si>
  <si>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</si>
  <si>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</si>
  <si>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</si>
  <si>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</si>
  <si>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</si>
  <si>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</si>
  <si>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</si>
  <si>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PHASE 0</t>
  </si>
  <si>
    <t>PREPARATION</t>
  </si>
  <si>
    <t>Autodiagnostic</t>
  </si>
  <si>
    <t>Etude marché</t>
  </si>
  <si>
    <t>SWOT+BMC</t>
  </si>
  <si>
    <t>Prévisionnel</t>
  </si>
  <si>
    <t>Archi SI</t>
  </si>
  <si>
    <t>Formation IA &amp; Data</t>
  </si>
  <si>
    <t>PHASE 1</t>
  </si>
  <si>
    <t>ADMINISTRATIF</t>
  </si>
  <si>
    <t>Statuts+Immat</t>
  </si>
  <si>
    <t>Inscription Ordre</t>
  </si>
  <si>
    <t>PHASE 2</t>
  </si>
  <si>
    <t>SI &amp; CONFORMITÉ</t>
  </si>
  <si>
    <t>Logiciel prod</t>
  </si>
  <si>
    <t>Choix PA (ex-PDP) / portail e-facture / PA</t>
  </si>
  <si>
    <t>PHASE 3</t>
  </si>
  <si>
    <t>LANCEMENT M0-M+3</t>
  </si>
  <si>
    <t>Onboarding</t>
  </si>
  <si>
    <t>Process std</t>
  </si>
  <si>
    <t>PHASE 4</t>
  </si>
  <si>
    <t>INDUSTRIALISATION M+3-M+6</t>
  </si>
  <si>
    <t>Dev clients</t>
  </si>
  <si>
    <t>Automatisations</t>
  </si>
  <si>
    <t>Audit Cyber</t>
  </si>
  <si>
    <t>Offre Conseil e-facture</t>
  </si>
  <si>
    <t>PHASE 5</t>
  </si>
  <si>
    <t>STRUCTURATION M+6-M+12</t>
  </si>
  <si>
    <t>Integration</t>
  </si>
  <si>
    <t>PHASE 6</t>
  </si>
  <si>
    <t>CONFORMITÉ CONTINUE</t>
  </si>
  <si>
    <t>Formation continue</t>
  </si>
  <si>
    <t>LÉGENDE DES PHASES</t>
  </si>
  <si>
    <t>Phase 0 - Préparation</t>
  </si>
  <si>
    <t>Avant M0 : Diagnostic, SWOT, prévisionnel</t>
  </si>
  <si>
    <t>Phase 1 - Administratif</t>
  </si>
  <si>
    <t>Avant M0 : Statuts, Ordre, RCP</t>
  </si>
  <si>
    <t>Phase 2 - SI &amp; Conformité</t>
  </si>
  <si>
    <t>M0 : Logiciels, RGPD, PA (ex-PDP)</t>
  </si>
  <si>
    <t>Phase 3 - Lancement</t>
  </si>
  <si>
    <t>M0→M+3 : Site, onboarding, process</t>
  </si>
  <si>
    <t>Phase 4 - Industrialisation</t>
  </si>
  <si>
    <t>M+3→M+6 : Clients, automatisations</t>
  </si>
  <si>
    <t>Phase 5 - Structuration</t>
  </si>
  <si>
    <t>M+6→M+12 : Recrutement, bilan</t>
  </si>
  <si>
    <t>Phase 6 - Conformité</t>
  </si>
  <si>
    <t>Continu : Formation 40h/an</t>
  </si>
  <si>
    <t>CHEMIN CRITIQUE</t>
  </si>
  <si>
    <t>Colonne Crit = OUI → Aucun retard toléré</t>
  </si>
  <si>
    <t>PERT — CALCUL AUTOMATISÉ DU CHEMIN CRITIQUE</t>
  </si>
  <si>
    <t>Passe avant (ES → EF) + Passe arrière (LS ← LF) — Chemin critique = marge nulle — Durées dynamiques — Tâche 6.1 transversale (hors réseau)</t>
  </si>
  <si>
    <t>Préd.1</t>
  </si>
  <si>
    <t>Préd.2</t>
  </si>
  <si>
    <t>Durée
(sem)</t>
  </si>
  <si>
    <t>ES
(+tôt)</t>
  </si>
  <si>
    <t>EF
(+tôt)</t>
  </si>
  <si>
    <t>LS
(+tard)</t>
  </si>
  <si>
    <t>LF
(+tard)</t>
  </si>
  <si>
    <t>Marge
(sem)</t>
  </si>
  <si>
    <t>Critique</t>
  </si>
  <si>
    <t>Annexe</t>
  </si>
  <si>
    <t>Livrable</t>
  </si>
  <si>
    <t>Autodiagnostic maturité numérique</t>
  </si>
  <si>
    <t>Annexe 2</t>
  </si>
  <si>
    <t>Diagnostic + plan d'actions</t>
  </si>
  <si>
    <t>Étude de marché</t>
  </si>
  <si>
    <t>Annexe 1</t>
  </si>
  <si>
    <t>Synthèse marché + hypothèses</t>
  </si>
  <si>
    <t>Annexes 3+8</t>
  </si>
  <si>
    <t>SWOT-TOWS + BMC validés</t>
  </si>
  <si>
    <t>Annexe 7</t>
  </si>
  <si>
    <t>Prévisionnel 3 ans + financement</t>
  </si>
  <si>
    <t>Annexe 6</t>
  </si>
  <si>
    <t>Schéma SI + choix outils</t>
  </si>
  <si>
    <t>Formation IA &amp; Data (AI Act art.4)</t>
  </si>
  <si>
    <t>Attestation formation IA</t>
  </si>
  <si>
    <t>Statuts + Immatriculation</t>
  </si>
  <si>
    <t>—</t>
  </si>
  <si>
    <t>KBis obtenu</t>
  </si>
  <si>
    <t>Inscription Ordre (incompressible)</t>
  </si>
  <si>
    <t>Annexe 5</t>
  </si>
  <si>
    <t>Inscription Tableau CROEC</t>
  </si>
  <si>
    <t>Annexe 11</t>
  </si>
  <si>
    <t>Attestation RCP active</t>
  </si>
  <si>
    <t>Déploiement logiciel production</t>
  </si>
  <si>
    <t>Annexe 10</t>
  </si>
  <si>
    <t>Production opérationnelle</t>
  </si>
  <si>
    <t>Conformité RGPD</t>
  </si>
  <si>
    <t>Registre + procédures RGPD</t>
  </si>
  <si>
    <t>Cybersécurité (MFA/PRA/sauvegardes)</t>
  </si>
  <si>
    <t>Mesures cyber en place</t>
  </si>
  <si>
    <t>Choix PA / portail e-facture</t>
  </si>
  <si>
    <t>PA connectée + tests OK</t>
  </si>
  <si>
    <t>Site web professionnel</t>
  </si>
  <si>
    <t>Site publié + pages légales</t>
  </si>
  <si>
    <t>Annexe 15</t>
  </si>
  <si>
    <t>Process onboarding standardisé</t>
  </si>
  <si>
    <t>Process documentés + templates</t>
  </si>
  <si>
    <t>Annexes 12-13</t>
  </si>
  <si>
    <t>Pipeline + clients acquis</t>
  </si>
  <si>
    <t>Automatisations en production</t>
  </si>
  <si>
    <t>Audit Cybersécurité (Label)</t>
  </si>
  <si>
    <t>Annexe 3</t>
  </si>
  <si>
    <t>Audit + plan remédiation</t>
  </si>
  <si>
    <t>Offre packagée + pricing</t>
  </si>
  <si>
    <t>Annexes 18-20</t>
  </si>
  <si>
    <t>Collaborateur recruté</t>
  </si>
  <si>
    <t>Annexe 21</t>
  </si>
  <si>
    <t>Autonomie opérationnelle</t>
  </si>
  <si>
    <t>Bilan annuel + Vision N+1</t>
  </si>
  <si>
    <t>Annexe 8</t>
  </si>
  <si>
    <t>Bilan validé + plan N+1</t>
  </si>
  <si>
    <t>Formation continue (40h/an)</t>
  </si>
  <si>
    <t>TRANSVERSALE — 40h/an (20h homologuées + LCB-FT + IA) — Hors réseau PERT</t>
  </si>
  <si>
    <t>Plan formation annuel validé</t>
  </si>
  <si>
    <t>DURÉE TOTALE PROJET (semaines)</t>
  </si>
  <si>
    <t>TÂCHES CRITIQUES (marge = 0)</t>
  </si>
  <si>
    <t>AVANCEMENT GLOBAL</t>
  </si>
  <si>
    <t>MARGE MINI (hors critique)</t>
  </si>
  <si>
    <t>"= tâche la plus proche du critique"</t>
  </si>
  <si>
    <t>MÉTHODE PERT — RÉFÉRENCE MÉTHODOLOGIQUE</t>
  </si>
  <si>
    <t>Passe avant (→)</t>
  </si>
  <si>
    <t>ES = MAX(EF des prédécesseurs). On parcourt le réseau de gauche à droite. EF = ES + Durée.</t>
  </si>
  <si>
    <t>Passe arrière (←)</t>
  </si>
  <si>
    <t>LF = MIN(LS des successeurs). On parcourt le réseau de droite à gauche. LS = LF − Durée.</t>
  </si>
  <si>
    <t>Marge totale</t>
  </si>
  <si>
    <t>Marge = LS − ES (ou LF − EF). Retard maximal sans décaler la fin du projet.</t>
  </si>
  <si>
    <t>Chemin critique</t>
  </si>
  <si>
    <t>Suite de tâches à marge nulle. Tout retard sur une tâche critique décale la date de fin.</t>
  </si>
  <si>
    <t>Durées dynamiques</t>
  </si>
  <si>
    <t>Liées aux coefficients du profil (onglet '2-Mon Projet') : type création × expérience × niveau SI.</t>
  </si>
  <si>
    <t>CODES COULEUR</t>
  </si>
  <si>
    <t>CRITIQUE — Marge = 0, aucun retard toléré sur ces tâches</t>
  </si>
  <si>
    <t>Zone de saisie — Prédécesseurs modifiables par le créateur</t>
  </si>
  <si>
    <t>Calcul automatique — Formules, ne pas modifier manuellement</t>
  </si>
  <si>
    <t>Tâche transversale — Obligation récurrente hors réseau séquentiel (pas de calcul ES/EF/LS/LF)</t>
  </si>
  <si>
    <t>⚠️ Les formules LF (colonne I) référencent explicitement les successeurs de chaque tâche. Si vous modifiez un prédécesseur (colonnes C/D), vérifiez la cohérence de la formule LF de la tâche dont le prédécesseur a été modifié. Les colonnes ES/EF/LS/Marge/Critique se recalculent automatiquement.</t>
  </si>
  <si>
    <t>ALERTES PERSONNALISEES - Selon vos parametres</t>
  </si>
  <si>
    <t>VOS ALERTES SPÉCIFIQUES</t>
  </si>
  <si>
    <t>Type projet:</t>
  </si>
  <si>
    <t>Ressources humaines:</t>
  </si>
  <si>
    <t>Automatisation (ROI):</t>
  </si>
  <si>
    <t>ROI (Annexe 1) : 1) Rappr. bancaire 60–80%  2) OCR 30–50%  3) Reporting 50–70%</t>
  </si>
  <si>
    <t>E-facture (PA (ex-PDP)):</t>
  </si>
  <si>
    <t>Budget:</t>
  </si>
  <si>
    <t>ALERTES CRITIQUES — RÉGLEMENTATION (dates clés)</t>
  </si>
  <si>
    <t>02/02/2025</t>
  </si>
  <si>
    <t>AI Act : AI literacy (formation/compétence IA) — obligations applicables</t>
  </si>
  <si>
    <t>02/08/2026</t>
  </si>
  <si>
    <t>AI Act : applicabilité générale de l’AI Act (sauf exceptions/transition)</t>
  </si>
  <si>
    <t>01/09/2026</t>
  </si>
  <si>
    <t>Facture électronique : RÉCEPTION obligatoire (toutes entreprises assujetties TVA) + ÉMISSION GE/ETI</t>
  </si>
  <si>
    <t>01/09/2027</t>
  </si>
  <si>
    <t>Facture électronique : ÉMISSION obligatoire PME / micro</t>
  </si>
  <si>
    <t>ERREURS CLASSIQUES À ÉVITER</t>
  </si>
  <si>
    <t>Avant M0</t>
  </si>
  <si>
    <t>Ne pas faire le diagnostic Annexe 2 (RGPD/sécurité bloquants)</t>
  </si>
  <si>
    <t>Commander des outils avant architecture SI / choix PA (ex-PDP) validés</t>
  </si>
  <si>
    <t>M0–M+3</t>
  </si>
  <si>
    <t>Négliger la sécurité du portail client (bloquant)</t>
  </si>
  <si>
    <t>Sous-estimer RGPD : conformité avant 1er client</t>
  </si>
  <si>
    <t>M+3–M+6</t>
  </si>
  <si>
    <t>Sous-estimer paramétrage APIs et OCR</t>
  </si>
  <si>
    <t>M+6–M+12</t>
  </si>
  <si>
    <t>Recruter sans budget marque employeur (tensions marché)</t>
  </si>
  <si>
    <t>RAPPELS OBLIGATOIRES</t>
  </si>
  <si>
    <t>Délai incompressible : anticiper avant M0.</t>
  </si>
  <si>
    <t>Obligatoire avant exercice.</t>
  </si>
  <si>
    <t>Conformité obligatoire AVANT le premier client.</t>
  </si>
  <si>
    <t>Facturation électronique</t>
  </si>
  <si>
    <t>01/09/2026: réception via PA obligatoire (le PPF = annuaire uniquement). 01/09/2027: émission.</t>
  </si>
  <si>
    <t>Référentiel salarial 2026</t>
  </si>
  <si>
    <t>Accord n°48 (15/12/2025) : +2,9%. Salaire min. collaborateur : 26 548 € brut/an.</t>
  </si>
  <si>
    <t>Secret professionnel</t>
  </si>
  <si>
    <t>Dès le premier contact client.</t>
  </si>
  <si>
    <t>Conclusion :</t>
  </si>
  <si>
    <t>Le Gantt n’est pas un planning figé : le passage de période dépend de conditions financières + réglementaires.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</si>
</sst>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#\ ##0&quot; €&quot;"/>
    <numFmt numFmtId="166" formatCode="0\%"/>
    <numFmt numFmtId="167" formatCode="0&quot; sem&quot;"/>
  </numFmts>
  <fonts count="62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0"/>
      <color rgb="FFB45309"/>
      <name val="Calibri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b/>
      <sz val="22"/>
      <color rgb="FF1E40AF"/>
      <name val="Cambria"/>
      <charset val="1"/>
    </font>
    <font>
      <i/>
      <sz val="12"/>
      <color rgb="FF64748B"/>
      <name val="Cambria"/>
      <charset val="1"/>
    </font>
    <font>
      <b/>
      <sz val="14"/>
      <color rgb="FFFFFFFF"/>
      <name val="Cambria"/>
      <charset val="1"/>
    </font>
    <font>
      <sz val="11"/>
      <name val="Cambria"/>
      <charset val="1"/>
    </font>
    <font>
      <b/>
      <sz val="11"/>
      <color rgb="FFB91C1C"/>
      <name val="Calibri"/>
      <charset val="1"/>
    </font>
    <font>
      <b/>
      <sz val="12"/>
      <color rgb="FFFFFFFF"/>
      <name val="Calibri"/>
      <charset val="1"/>
    </font>
    <font>
      <sz val="11"/>
      <name val="Calibri"/>
      <charset val="1"/>
    </font>
    <font>
      <i/>
      <sz val="10"/>
      <color rgb="FF6B7280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2"/>
      <color rgb="FFFFFFFF"/>
      <name val="Cambria"/>
      <charset val="1"/>
    </font>
    <font>
      <b/>
      <sz val="12"/>
      <name val="Calibri"/>
      <charset val="1"/>
    </font>
    <font>
      <b/>
      <sz val="18"/>
      <color rgb="FF1E40AF"/>
      <name val="Cambria"/>
      <charset val="1"/>
    </font>
    <font>
      <i/>
      <sz val="11"/>
      <color rgb="FF64748B"/>
      <name val="Cambria"/>
      <charset val="1"/>
    </font>
    <font>
      <sz val="11"/>
      <color rgb="FF065F46"/>
      <name val="Calibri"/>
      <charset val="1"/>
    </font>
    <font>
      <sz val="11"/>
      <color rgb="FF065F46"/>
      <name val="Calibri"/>
      <family val="2"/>
      <charset val="1"/>
    </font>
    <font>
      <i/>
      <sz val="9"/>
      <color rgb="FF64748B"/>
      <name val="Cambria"/>
      <charset val="1"/>
    </font>
    <font>
      <sz val="11"/>
      <color rgb="FF111827"/>
      <name val="Calibri"/>
      <family val="2"/>
      <charset val="1"/>
    </font>
    <font>
      <i/>
      <sz val="9"/>
      <color rgb="FF6B7280"/>
      <name val="Calibri"/>
      <charset val="1"/>
    </font>
    <font>
      <b/>
      <sz val="11"/>
      <color rgb="FF1E40AF"/>
      <name val="Calibri"/>
      <family val="2"/>
      <charset val="1"/>
    </font>
    <font>
      <i/>
      <sz val="9"/>
      <color rgb="FF374151"/>
      <name val="Calibri"/>
      <charset val="1"/>
    </font>
    <font>
      <b/>
      <sz val="14"/>
      <color rgb="FF1E40AF"/>
      <name val="Calibri"/>
      <charset val="1"/>
    </font>
    <font>
      <sz val="10"/>
      <color rgb="FFDC2626"/>
      <name val="Calibri"/>
      <charset val="1"/>
    </font>
    <font>
      <b/>
      <sz val="10"/>
      <color rgb="FF166534"/>
      <name val="Calibri"/>
      <charset val="1"/>
    </font>
    <font>
      <b/>
      <sz val="11"/>
      <color rgb="FF374151"/>
      <name val="Calibri"/>
      <charset val="1"/>
    </font>
    <font>
      <b/>
      <sz val="11"/>
      <color rgb="FF1E40AF"/>
      <name val="Cambria"/>
      <charset val="1"/>
    </font>
    <font>
      <b/>
      <sz val="16"/>
      <color rgb="FF1E40AF"/>
      <name val="Cambria"/>
      <charset val="1"/>
    </font>
    <font>
      <b/>
      <sz val="9"/>
      <color rgb="FFFFFFFF"/>
      <name val="Cambria"/>
      <charset val="1"/>
    </font>
    <font>
      <b/>
      <sz val="8"/>
      <color rgb="FFFFFFFF"/>
      <name val="Cambria"/>
      <charset val="1"/>
    </font>
    <font>
      <b/>
      <sz val="9"/>
      <name val="Arial"/>
      <charset val="1"/>
    </font>
    <font>
      <b/>
      <sz val="10"/>
      <color rgb="FFFF0000"/>
      <name val="Calibri"/>
      <charset val="1"/>
    </font>
    <font>
      <b/>
      <sz val="14"/>
      <color rgb="FF1B3A5C"/>
      <name val="Arial"/>
      <charset val="1"/>
    </font>
    <font>
      <i/>
      <sz val="9"/>
      <color rgb="FF2E5A88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i/>
      <sz val="9"/>
      <color rgb="FF888888"/>
      <name val="Arial"/>
      <charset val="1"/>
    </font>
    <font>
      <b/>
      <i/>
      <sz val="8"/>
      <color rgb="FFE67E22"/>
      <name val="Arial"/>
      <charset val="1"/>
    </font>
    <font>
      <b/>
      <sz val="12"/>
      <color rgb="FFC00000"/>
      <name val="Arial"/>
      <charset val="1"/>
    </font>
    <font>
      <sz val="9"/>
      <color rgb="FF2E5A88"/>
      <name val="Arial"/>
      <charset val="1"/>
    </font>
    <font>
      <sz val="9"/>
      <color rgb="FF666666"/>
      <name val="Arial"/>
      <charset val="1"/>
    </font>
    <font>
      <b/>
      <sz val="12"/>
      <color rgb="FF27AE60"/>
      <name val="Arial"/>
      <charset val="1"/>
    </font>
    <font>
      <sz val="9"/>
      <color rgb="FF27AE60"/>
      <name val="Arial"/>
      <charset val="1"/>
    </font>
    <font>
      <b/>
      <sz val="12"/>
      <color rgb="FFE67E22"/>
      <name val="Arial"/>
      <charset val="1"/>
    </font>
    <font>
      <i/>
      <sz val="9"/>
      <color rgb="FF666666"/>
      <name val="Arial"/>
      <charset val="1"/>
    </font>
    <font>
      <b/>
      <sz val="11"/>
      <color rgb="FF1B3A5C"/>
      <name val="Arial"/>
      <charset val="1"/>
    </font>
    <font>
      <b/>
      <sz val="9"/>
      <color rgb="FF1B3A5C"/>
      <name val="Arial"/>
      <charset val="1"/>
    </font>
    <font>
      <sz val="9"/>
      <color rgb="FF444444"/>
      <name val="Arial"/>
      <charset val="1"/>
    </font>
    <font>
      <b/>
      <sz val="10"/>
      <color rgb="FF1B3A5C"/>
      <name val="Arial"/>
      <charset val="1"/>
    </font>
    <font>
      <b/>
      <sz val="9"/>
      <color rgb="FFC00000"/>
      <name val="Arial"/>
      <charset val="1"/>
    </font>
    <font>
      <i/>
      <sz val="9"/>
      <color rgb="FFE67E22"/>
      <name val="Arial"/>
      <charset val="1"/>
    </font>
    <font>
      <sz val="11"/>
      <color rgb="FF111827"/>
      <name val="Calibri"/>
      <charset val="1"/>
    </font>
    <font>
      <b/>
      <sz val="11"/>
      <color rgb="FFDC2626"/>
      <name val="Calibri"/>
      <charset val="1"/>
    </font>
    <font>
      <sz val="11"/>
      <color rgb="FFDC2626"/>
      <name val="Cambria"/>
      <charset val="1"/>
    </font>
    <font>
      <b/>
      <sz val="11"/>
      <name val="Cambria"/>
      <charset val="1"/>
    </font>
    <font>
      <i/>
      <sz val="11"/>
      <name val="Cambria"/>
      <charset val="1"/>
    </font>
  </fonts>
  <fills count="43">
    <fill>
      <patternFill patternType="none"/>
    </fill>
    <fill>
      <patternFill patternType="gray125"/>
    </fill>
    <fill>
      <patternFill patternType="solid">
        <fgColor rgb="FF111827"/>
        <bgColor rgb="FF1F2937"/>
      </patternFill>
    </fill>
    <fill>
      <patternFill patternType="solid">
        <fgColor rgb="FFDBEAFE"/>
        <bgColor rgb="FFD6E4F0"/>
      </patternFill>
    </fill>
    <fill>
      <patternFill patternType="solid">
        <fgColor rgb="FF1F2937"/>
        <bgColor rgb="FF111827"/>
      </patternFill>
    </fill>
    <fill>
      <patternFill patternType="solid">
        <fgColor rgb="FFF3F4F6"/>
        <bgColor rgb="FFF1F5F9"/>
      </patternFill>
    </fill>
    <fill>
      <patternFill patternType="solid">
        <fgColor rgb="FFFFFFFF"/>
        <bgColor rgb="FFF9FAFB"/>
      </patternFill>
    </fill>
    <fill>
      <patternFill patternType="solid">
        <fgColor rgb="FFFFFF00"/>
        <bgColor rgb="FFFFD700"/>
      </patternFill>
    </fill>
    <fill>
      <patternFill patternType="solid">
        <fgColor rgb="FF1E40AF"/>
        <bgColor rgb="FF2E5A88"/>
      </patternFill>
    </fill>
    <fill>
      <patternFill patternType="solid">
        <fgColor rgb="FF059669"/>
        <bgColor rgb="FF27AE60"/>
      </patternFill>
    </fill>
    <fill>
      <patternFill patternType="solid">
        <fgColor rgb="FFEA580C"/>
        <bgColor rgb="FFF97316"/>
      </patternFill>
    </fill>
    <fill>
      <patternFill patternType="solid">
        <fgColor rgb="FF7C3AED"/>
        <bgColor rgb="FF8B5CF6"/>
      </patternFill>
    </fill>
    <fill>
      <patternFill patternType="solid">
        <fgColor rgb="FFD1FAE5"/>
        <bgColor rgb="FFDBEAFE"/>
      </patternFill>
    </fill>
    <fill>
      <patternFill patternType="solid">
        <fgColor rgb="FFE5E7EB"/>
        <bgColor rgb="FFDBEAFE"/>
      </patternFill>
    </fill>
    <fill>
      <patternFill patternType="solid">
        <fgColor rgb="FFFEE2E2"/>
        <bgColor rgb="FFFFE0E0"/>
      </patternFill>
    </fill>
    <fill>
      <patternFill patternType="solid">
        <fgColor rgb="FFFEF3C7"/>
        <bgColor rgb="FFFFF2CC"/>
      </patternFill>
    </fill>
    <fill>
      <patternFill patternType="solid">
        <fgColor rgb="FFFF0000"/>
        <bgColor rgb="FFC00000"/>
      </patternFill>
    </fill>
    <fill>
      <patternFill patternType="solid">
        <fgColor rgb="FF64748B"/>
        <bgColor rgb="FF6B7280"/>
      </patternFill>
    </fill>
    <fill>
      <patternFill patternType="solid">
        <fgColor rgb="FF90EE90"/>
        <bgColor rgb="FFD1FAE5"/>
      </patternFill>
    </fill>
    <fill>
      <patternFill patternType="solid">
        <fgColor rgb="FFFFA500"/>
        <bgColor rgb="FFEAB308"/>
      </patternFill>
    </fill>
    <fill>
      <patternFill patternType="solid">
        <fgColor rgb="FF6B8E23"/>
        <bgColor rgb="FF7F7F7F"/>
      </patternFill>
    </fill>
    <fill>
      <patternFill patternType="solid">
        <fgColor rgb="FF4169E1"/>
        <bgColor rgb="FF3B82F6"/>
      </patternFill>
    </fill>
    <fill>
      <patternFill patternType="solid">
        <fgColor rgb="FFFFD700"/>
        <bgColor rgb="FFEAB308"/>
      </patternFill>
    </fill>
    <fill>
      <patternFill patternType="solid">
        <fgColor rgb="FF9370DB"/>
        <bgColor rgb="FF8B5CF6"/>
      </patternFill>
    </fill>
    <fill>
      <patternFill patternType="solid">
        <fgColor rgb="FF00CED1"/>
        <bgColor rgb="FF14B8A6"/>
      </patternFill>
    </fill>
    <fill>
      <patternFill patternType="solid">
        <fgColor rgb="FFDC2626"/>
        <bgColor rgb="FFB91C1C"/>
      </patternFill>
    </fill>
    <fill>
      <patternFill patternType="solid">
        <fgColor rgb="FF3B82F6"/>
        <bgColor rgb="FF4169E1"/>
      </patternFill>
    </fill>
    <fill>
      <patternFill patternType="solid">
        <fgColor rgb="FFF9FAFB"/>
        <bgColor rgb="FFFFFFFF"/>
      </patternFill>
    </fill>
    <fill>
      <patternFill patternType="solid">
        <fgColor rgb="FF22C55E"/>
        <bgColor rgb="FF27AE60"/>
      </patternFill>
    </fill>
    <fill>
      <patternFill patternType="solid">
        <fgColor rgb="FFF97316"/>
        <bgColor rgb="FFE67E22"/>
      </patternFill>
    </fill>
    <fill>
      <patternFill patternType="solid">
        <fgColor rgb="FF8B5CF6"/>
        <bgColor rgb="FF9370DB"/>
      </patternFill>
    </fill>
    <fill>
      <patternFill patternType="solid">
        <fgColor rgb="FFF1F5F9"/>
        <bgColor rgb="FFF3F4F6"/>
      </patternFill>
    </fill>
    <fill>
      <patternFill patternType="solid">
        <fgColor theme="1" tint="0.49989318521683401"/>
        <bgColor rgb="FF888888"/>
      </patternFill>
    </fill>
    <fill>
      <patternFill patternType="solid">
        <fgColor rgb="FF1B3A5C"/>
        <bgColor rgb="FF1F2937"/>
      </patternFill>
    </fill>
    <fill>
      <patternFill patternType="solid">
        <fgColor rgb="FFEBF1F8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EF3C7"/>
      </patternFill>
    </fill>
    <fill>
      <patternFill patternType="solid">
        <fgColor rgb="FFFFF3E0"/>
        <bgColor rgb="FFFFF2CC"/>
      </patternFill>
    </fill>
    <fill>
      <patternFill patternType="solid">
        <fgColor rgb="FFC00000"/>
        <bgColor rgb="FFB91C1C"/>
      </patternFill>
    </fill>
    <fill>
      <patternFill patternType="solid">
        <fgColor rgb="FF27AE60"/>
        <bgColor rgb="FF22C55E"/>
      </patternFill>
    </fill>
    <fill>
      <patternFill patternType="solid">
        <fgColor rgb="FFE67E22"/>
        <bgColor rgb="FFF97316"/>
      </patternFill>
    </fill>
    <fill>
      <patternFill patternType="solid">
        <fgColor rgb="FFD6E4F0"/>
        <bgColor rgb="FFDBEAFE"/>
      </patternFill>
    </fill>
    <fill>
      <patternFill patternType="solid">
        <fgColor rgb="FFFFE0E0"/>
        <bgColor rgb="FFFEE2E2"/>
      </patternFill>
    </fill>
  </fills>
  <borders count="5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6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11" fillId="11" borderId="0" xfId="0" applyFont="1" applyFill="1"/>
    <xf numFmtId="0" fontId="12" fillId="11" borderId="0" xfId="0" applyFont="1" applyFill="1"/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2" fillId="3" borderId="2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12" fillId="8" borderId="2" xfId="0" applyFont="1" applyFill="1" applyBorder="1"/>
    <xf numFmtId="0" fontId="12" fillId="14" borderId="2" xfId="0" applyFont="1" applyFill="1" applyBorder="1"/>
    <xf numFmtId="0" fontId="12" fillId="15" borderId="2" xfId="0" applyFont="1" applyFill="1" applyBorder="1"/>
    <xf numFmtId="0" fontId="12" fillId="16" borderId="2" xfId="0" applyFont="1" applyFill="1" applyBorder="1"/>
    <xf numFmtId="0" fontId="11" fillId="17" borderId="0" xfId="0" applyFont="1" applyFill="1"/>
    <xf numFmtId="0" fontId="12" fillId="17" borderId="0" xfId="0" applyFont="1" applyFill="1"/>
    <xf numFmtId="0" fontId="12" fillId="18" borderId="2" xfId="0" applyFont="1" applyFill="1" applyBorder="1"/>
    <xf numFmtId="0" fontId="12" fillId="19" borderId="2" xfId="0" applyFont="1" applyFill="1" applyBorder="1"/>
    <xf numFmtId="0" fontId="12" fillId="20" borderId="2" xfId="0" applyFont="1" applyFill="1" applyBorder="1"/>
    <xf numFmtId="0" fontId="12" fillId="21" borderId="2" xfId="0" applyFont="1" applyFill="1" applyBorder="1"/>
    <xf numFmtId="0" fontId="12" fillId="22" borderId="2" xfId="0" applyFont="1" applyFill="1" applyBorder="1"/>
    <xf numFmtId="0" fontId="12" fillId="23" borderId="2" xfId="0" applyFont="1" applyFill="1" applyBorder="1"/>
    <xf numFmtId="0" fontId="12" fillId="24" borderId="2" xfId="0" applyFont="1" applyFill="1" applyBorder="1"/>
    <xf numFmtId="0" fontId="0" fillId="0" borderId="0" xfId="0" applyAlignment="1">
      <alignment horizontal="left"/>
    </xf>
    <xf numFmtId="0" fontId="21" fillId="12" borderId="0" xfId="0" applyFont="1" applyFill="1" applyAlignment="1">
      <alignment horizontal="left" vertical="center" wrapText="1"/>
    </xf>
    <xf numFmtId="0" fontId="22" fillId="0" borderId="0" xfId="0" applyFont="1"/>
    <xf numFmtId="164" fontId="21" fillId="12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3" fillId="13" borderId="0" xfId="0" applyFont="1" applyFill="1" applyAlignment="1">
      <alignment horizontal="left"/>
    </xf>
    <xf numFmtId="0" fontId="24" fillId="0" borderId="0" xfId="0" applyFont="1"/>
    <xf numFmtId="2" fontId="25" fillId="3" borderId="0" xfId="0" applyNumberFormat="1" applyFont="1" applyFill="1" applyAlignment="1">
      <alignment horizontal="left"/>
    </xf>
    <xf numFmtId="0" fontId="25" fillId="3" borderId="0" xfId="0" applyFont="1" applyFill="1" applyAlignment="1">
      <alignment horizontal="left"/>
    </xf>
    <xf numFmtId="0" fontId="14" fillId="27" borderId="3" xfId="0" applyFont="1" applyFill="1" applyBorder="1" applyAlignment="1">
      <alignment horizontal="right" vertical="center"/>
    </xf>
    <xf numFmtId="0" fontId="32" fillId="0" borderId="0" xfId="0" applyFont="1"/>
    <xf numFmtId="0" fontId="0" fillId="3" borderId="0" xfId="0" applyFill="1"/>
    <xf numFmtId="0" fontId="33" fillId="8" borderId="0" xfId="0" applyFont="1" applyFill="1" applyAlignment="1">
      <alignment horizontal="center"/>
    </xf>
    <xf numFmtId="0" fontId="34" fillId="8" borderId="0" xfId="0" applyFont="1" applyFill="1" applyAlignment="1">
      <alignment horizontal="center"/>
    </xf>
    <xf numFmtId="0" fontId="34" fillId="28" borderId="0" xfId="0" applyFont="1" applyFill="1" applyAlignment="1">
      <alignment horizontal="center"/>
    </xf>
    <xf numFmtId="0" fontId="31" fillId="31" borderId="0" xfId="0" applyFont="1" applyFill="1"/>
    <xf numFmtId="0" fontId="35" fillId="0" borderId="4" xfId="0" applyFont="1" applyBorder="1" applyAlignment="1">
      <alignment horizontal="center" vertical="center" wrapText="1"/>
    </xf>
    <xf numFmtId="0" fontId="0" fillId="1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3" fillId="0" borderId="0" xfId="0" applyFont="1"/>
    <xf numFmtId="0" fontId="0" fillId="32" borderId="0" xfId="0" applyFill="1" applyAlignment="1">
      <alignment horizontal="center"/>
    </xf>
    <xf numFmtId="0" fontId="36" fillId="0" borderId="0" xfId="0" applyFont="1"/>
    <xf numFmtId="0" fontId="12" fillId="0" borderId="2" xfId="0" applyFont="1" applyBorder="1"/>
    <xf numFmtId="0" fontId="39" fillId="33" borderId="4" xfId="0" applyFont="1" applyFill="1" applyBorder="1" applyAlignment="1">
      <alignment horizontal="center" vertical="center" wrapText="1"/>
    </xf>
    <xf numFmtId="0" fontId="40" fillId="34" borderId="4" xfId="0" applyFont="1" applyFill="1" applyBorder="1" applyAlignment="1">
      <alignment horizontal="center" vertical="center" wrapText="1"/>
    </xf>
    <xf numFmtId="0" fontId="41" fillId="34" borderId="4" xfId="0" applyFont="1" applyFill="1" applyBorder="1" applyAlignment="1">
      <alignment horizontal="left" vertical="center" wrapText="1"/>
    </xf>
    <xf numFmtId="0" fontId="41" fillId="34" borderId="4" xfId="0" applyFont="1" applyFill="1" applyBorder="1" applyAlignment="1">
      <alignment horizontal="center" vertical="center" wrapText="1"/>
    </xf>
    <xf numFmtId="0" fontId="41" fillId="35" borderId="4" xfId="0" applyFont="1" applyFill="1" applyBorder="1" applyAlignment="1">
      <alignment horizontal="center" vertical="center" wrapText="1"/>
    </xf>
    <xf numFmtId="0" fontId="40" fillId="35" borderId="4" xfId="0" applyFont="1" applyFill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0" fillId="6" borderId="4" xfId="0" applyFont="1" applyFill="1" applyBorder="1" applyAlignment="1">
      <alignment horizontal="center" vertical="center" wrapText="1"/>
    </xf>
    <xf numFmtId="0" fontId="41" fillId="6" borderId="4" xfId="0" applyFont="1" applyFill="1" applyBorder="1" applyAlignment="1">
      <alignment horizontal="left" vertical="center" wrapText="1"/>
    </xf>
    <xf numFmtId="0" fontId="41" fillId="36" borderId="4" xfId="0" applyFont="1" applyFill="1" applyBorder="1" applyAlignment="1">
      <alignment horizontal="center" vertical="center" wrapText="1"/>
    </xf>
    <xf numFmtId="0" fontId="41" fillId="6" borderId="4" xfId="0" applyFont="1" applyFill="1" applyBorder="1" applyAlignment="1">
      <alignment horizontal="center" vertical="center" wrapText="1"/>
    </xf>
    <xf numFmtId="1" fontId="41" fillId="35" borderId="4" xfId="0" applyNumberFormat="1" applyFont="1" applyFill="1" applyBorder="1" applyAlignment="1">
      <alignment horizontal="center" vertical="center" wrapText="1"/>
    </xf>
    <xf numFmtId="0" fontId="42" fillId="37" borderId="4" xfId="0" applyFont="1" applyFill="1" applyBorder="1" applyAlignment="1">
      <alignment horizontal="center" vertical="center" wrapText="1"/>
    </xf>
    <xf numFmtId="0" fontId="42" fillId="37" borderId="4" xfId="0" applyFont="1" applyFill="1" applyBorder="1" applyAlignment="1">
      <alignment horizontal="left" vertical="center" wrapText="1"/>
    </xf>
    <xf numFmtId="1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166" fontId="47" fillId="0" borderId="0" xfId="0" applyNumberFormat="1" applyFont="1" applyAlignment="1">
      <alignment horizontal="center" vertical="center" wrapText="1"/>
    </xf>
    <xf numFmtId="167" fontId="49" fillId="0" borderId="0" xfId="0" applyNumberFormat="1" applyFont="1" applyAlignment="1">
      <alignment horizontal="center" vertical="center"/>
    </xf>
    <xf numFmtId="0" fontId="0" fillId="42" borderId="4" xfId="0" applyFill="1" applyBorder="1"/>
    <xf numFmtId="0" fontId="0" fillId="36" borderId="4" xfId="0" applyFill="1" applyBorder="1"/>
    <xf numFmtId="0" fontId="0" fillId="35" borderId="4" xfId="0" applyFill="1" applyBorder="1"/>
    <xf numFmtId="0" fontId="0" fillId="37" borderId="4" xfId="0" applyFill="1" applyBorder="1"/>
    <xf numFmtId="0" fontId="17" fillId="25" borderId="0" xfId="0" applyFont="1" applyFill="1"/>
    <xf numFmtId="0" fontId="17" fillId="10" borderId="0" xfId="0" applyFont="1" applyFill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17" fillId="17" borderId="0" xfId="0" applyFont="1" applyFill="1"/>
    <xf numFmtId="0" fontId="17" fillId="0" borderId="0" xfId="0" applyFont="1"/>
    <xf numFmtId="0" fontId="0" fillId="6" borderId="1" xfId="0" applyFill="1" applyBorder="1" applyAlignment="1">
      <alignment horizontal="left" vertical="center" wrapText="1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 applyProtection="1">
      <alignment horizontal="left" vertical="center" wrapText="1"/>
      <protection locked="0"/>
    </xf>
    <xf numFmtId="0" fontId="0" fillId="6" borderId="1" xfId="0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164" fontId="5" fillId="7" borderId="1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16" fillId="8" borderId="0" xfId="0" applyFont="1" applyFill="1"/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8" borderId="0" xfId="0" applyFont="1" applyFill="1"/>
    <xf numFmtId="0" fontId="8" fillId="9" borderId="0" xfId="0" applyFont="1" applyFill="1"/>
    <xf numFmtId="0" fontId="8" fillId="10" borderId="0" xfId="0" applyFont="1" applyFill="1"/>
    <xf numFmtId="0" fontId="26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0" fontId="16" fillId="17" borderId="0" xfId="0" applyFont="1" applyFill="1"/>
    <xf numFmtId="0" fontId="20" fillId="12" borderId="0" xfId="0" applyFont="1" applyFill="1" applyAlignment="1">
      <alignment horizontal="left" vertical="center" wrapText="1"/>
    </xf>
    <xf numFmtId="0" fontId="16" fillId="9" borderId="0" xfId="0" applyFont="1" applyFill="1"/>
    <xf numFmtId="0" fontId="16" fillId="10" borderId="0" xfId="0" applyFont="1" applyFill="1"/>
    <xf numFmtId="0" fontId="16" fillId="11" borderId="0" xfId="0" applyFont="1" applyFill="1"/>
    <xf numFmtId="0" fontId="16" fillId="25" borderId="0" xfId="0" applyFont="1" applyFill="1"/>
    <xf numFmtId="0" fontId="18" fillId="0" borderId="0" xfId="0" applyFont="1"/>
    <xf numFmtId="0" fontId="19" fillId="0" borderId="0" xfId="0" applyFont="1"/>
    <xf numFmtId="0" fontId="10" fillId="0" borderId="0" xfId="0" applyFont="1"/>
    <xf numFmtId="0" fontId="29" fillId="12" borderId="3" xfId="0" applyFont="1" applyFill="1" applyBorder="1" applyAlignment="1">
      <alignment horizontal="left" vertical="center" wrapText="1"/>
    </xf>
    <xf numFmtId="0" fontId="30" fillId="13" borderId="0" xfId="0" applyFont="1" applyFill="1"/>
    <xf numFmtId="0" fontId="31" fillId="0" borderId="0" xfId="0" applyFont="1"/>
    <xf numFmtId="0" fontId="15" fillId="6" borderId="3" xfId="0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1" fillId="30" borderId="0" xfId="0" applyFont="1" applyFill="1" applyAlignment="1">
      <alignment horizontal="left" vertical="center"/>
    </xf>
    <xf numFmtId="0" fontId="15" fillId="15" borderId="3" xfId="0" applyFont="1" applyFill="1" applyBorder="1" applyAlignment="1">
      <alignment horizontal="left" vertical="center" wrapText="1"/>
    </xf>
    <xf numFmtId="0" fontId="11" fillId="29" borderId="0" xfId="0" applyFont="1" applyFill="1" applyAlignment="1">
      <alignment horizontal="left" vertical="center"/>
    </xf>
    <xf numFmtId="0" fontId="28" fillId="0" borderId="3" xfId="0" applyFont="1" applyBorder="1" applyAlignment="1">
      <alignment horizontal="left" vertical="center" wrapText="1"/>
    </xf>
    <xf numFmtId="0" fontId="11" fillId="28" borderId="0" xfId="0" applyFont="1" applyFill="1" applyAlignment="1">
      <alignment horizontal="left" vertical="center"/>
    </xf>
    <xf numFmtId="0" fontId="2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26" borderId="0" xfId="0" applyFont="1" applyFill="1" applyAlignment="1">
      <alignment horizontal="left" vertical="center"/>
    </xf>
    <xf numFmtId="0" fontId="56" fillId="0" borderId="0" xfId="0" applyFont="1" applyAlignment="1">
      <alignment horizontal="left" vertical="center" wrapText="1"/>
    </xf>
    <xf numFmtId="0" fontId="54" fillId="41" borderId="0" xfId="0" applyFont="1" applyFill="1"/>
    <xf numFmtId="0" fontId="55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 wrapText="1"/>
    </xf>
    <xf numFmtId="0" fontId="53" fillId="0" borderId="0" xfId="0" applyFont="1" applyAlignment="1">
      <alignment horizontal="left" vertical="center" wrapText="1"/>
    </xf>
    <xf numFmtId="0" fontId="51" fillId="41" borderId="0" xfId="0" applyFont="1" applyFill="1"/>
    <xf numFmtId="0" fontId="39" fillId="38" borderId="0" xfId="0" applyFont="1" applyFill="1" applyAlignment="1">
      <alignment horizontal="right" vertical="center"/>
    </xf>
    <xf numFmtId="0" fontId="46" fillId="0" borderId="0" xfId="0" applyFont="1" applyAlignment="1">
      <alignment horizontal="left" vertical="center"/>
    </xf>
    <xf numFmtId="0" fontId="39" fillId="39" borderId="0" xfId="0" applyFont="1" applyFill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39" fillId="40" borderId="0" xfId="0" applyFont="1" applyFill="1" applyAlignment="1">
      <alignment horizontal="right" vertical="center"/>
    </xf>
    <xf numFmtId="0" fontId="5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8" fillId="0" borderId="0" xfId="0" applyFont="1"/>
    <xf numFmtId="0" fontId="43" fillId="37" borderId="4" xfId="0" applyFont="1" applyFill="1" applyBorder="1" applyAlignment="1">
      <alignment horizontal="left" vertical="center" wrapText="1"/>
    </xf>
    <xf numFmtId="0" fontId="39" fillId="33" borderId="0" xfId="0" applyFont="1" applyFill="1" applyAlignment="1">
      <alignment horizontal="right" vertical="center"/>
    </xf>
    <xf numFmtId="0" fontId="45" fillId="0" borderId="0" xfId="0" applyFont="1" applyAlignment="1">
      <alignment horizontal="left" vertical="center"/>
    </xf>
    <xf numFmtId="0" fontId="61" fillId="0" borderId="0" xfId="0" applyFont="1"/>
    <xf numFmtId="0" fontId="57" fillId="3" borderId="0" xfId="0" applyFont="1" applyFill="1" applyAlignment="1">
      <alignment vertical="top" wrapText="1"/>
    </xf>
  </cellXfs>
  <cellStyles count="1">
    <cellStyle name="Normal" xfId="0" builtinId="0"/>
  </cellStyles>
  <dxfs count="22">
    <dxf>
      <font>
        <b/>
        <sz val="9"/>
        <color rgb="FFFFFFFF"/>
        <name val="Arial"/>
        <charset val="1"/>
      </font>
      <fill>
        <patternFill>
          <bgColor rgb="FFE67E22"/>
        </patternFill>
      </fill>
    </dxf>
    <dxf>
      <font>
        <b/>
        <sz val="9"/>
        <color rgb="FFFFFFFF"/>
        <name val="Arial"/>
        <charset val="1"/>
      </font>
      <fill>
        <patternFill>
          <bgColor rgb="FF27AE60"/>
        </patternFill>
      </fill>
    </dxf>
    <dxf>
      <font>
        <b/>
        <sz val="9"/>
        <color rgb="FFFFFFFF"/>
        <name val="Arial"/>
        <charset val="1"/>
      </font>
      <fill>
        <patternFill>
          <bgColor rgb="FFC00000"/>
        </patternFill>
      </fill>
    </dxf>
    <dxf>
      <font>
        <b/>
        <sz val="9"/>
        <color rgb="FFC00000"/>
        <name val="Arial"/>
        <charset val="1"/>
      </font>
      <fill>
        <patternFill>
          <bgColor rgb="FFFFE0E0"/>
        </patternFill>
      </fill>
    </dxf>
    <dxf>
      <font>
        <b/>
        <sz val="9"/>
        <color rgb="FFC00000"/>
        <name val="Arial"/>
        <charset val="1"/>
      </font>
      <fill>
        <patternFill>
          <bgColor rgb="FFFFE0E0"/>
        </patternFill>
      </fill>
    </dxf>
    <dxf>
      <fill>
        <patternFill>
          <bgColor rgb="FF14B8A6"/>
        </patternFill>
      </fill>
    </dxf>
    <dxf>
      <fill>
        <patternFill>
          <bgColor rgb="FF64748B"/>
        </patternFill>
      </fill>
    </dxf>
    <dxf>
      <fill>
        <patternFill>
          <bgColor rgb="FF8B5CF6"/>
        </patternFill>
      </fill>
    </dxf>
    <dxf>
      <fill>
        <patternFill>
          <bgColor rgb="FFEAB308"/>
        </patternFill>
      </fill>
    </dxf>
    <dxf>
      <fill>
        <patternFill>
          <bgColor rgb="FFDC2626"/>
        </patternFill>
      </fill>
    </dxf>
    <dxf>
      <fill>
        <patternFill>
          <bgColor rgb="FFF97316"/>
        </patternFill>
      </fill>
    </dxf>
    <dxf>
      <fill>
        <patternFill>
          <bgColor rgb="FF3B82F6"/>
        </patternFill>
      </fill>
    </dxf>
    <dxf>
      <fill>
        <patternFill>
          <bgColor rgb="FFDC2626"/>
        </patternFill>
      </fill>
    </dxf>
    <dxf>
      <fill>
        <patternFill>
          <bgColor rgb="FF3B82F6"/>
        </patternFill>
      </fill>
    </dxf>
    <dxf>
      <fill>
        <patternFill>
          <bgColor rgb="FF22C55E"/>
        </patternFill>
      </fill>
    </dxf>
    <dxf>
      <fill>
        <patternFill>
          <bgColor rgb="FF14B8A6"/>
        </patternFill>
      </fill>
    </dxf>
    <dxf>
      <fill>
        <patternFill>
          <bgColor rgb="FF64748B"/>
        </patternFill>
      </fill>
    </dxf>
    <dxf>
      <fill>
        <patternFill>
          <bgColor rgb="FF14B8A6"/>
        </patternFill>
      </fill>
    </dxf>
    <dxf>
      <fill>
        <patternFill>
          <bgColor rgb="FF3B82F6"/>
        </patternFill>
      </fill>
    </dxf>
    <dxf>
      <fill>
        <patternFill>
          <bgColor rgb="FF64748B"/>
        </patternFill>
      </fill>
    </dxf>
    <dxf>
      <fill>
        <patternFill>
          <bgColor rgb="FF3B82F6"/>
        </patternFill>
      </fill>
    </dxf>
    <dxf>
      <fill>
        <patternFill>
          <bgColor rgb="FF22C55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2C55E"/>
      <rgbColor rgb="FF0000FF"/>
      <rgbColor rgb="FFFFFF00"/>
      <rgbColor rgb="FFF2F2F2"/>
      <rgbColor rgb="FF90EE90"/>
      <rgbColor rgb="FFC00000"/>
      <rgbColor rgb="FF08613D"/>
      <rgbColor rgb="FF6B7280"/>
      <rgbColor rgb="FF6B8E23"/>
      <rgbColor rgb="FF7C3AED"/>
      <rgbColor rgb="FF059669"/>
      <rgbColor rgb="FFBFBFBF"/>
      <rgbColor rgb="FF7F7F7F"/>
      <rgbColor rgb="FF9370DB"/>
      <rgbColor rgb="FFB45309"/>
      <rgbColor rgb="FFFEF3C7"/>
      <rgbColor rgb="FFDBEAFE"/>
      <rgbColor rgb="FF666666"/>
      <rgbColor rgb="FFE67E22"/>
      <rgbColor rgb="FF2E5A88"/>
      <rgbColor rgb="FFD1D5DB"/>
      <rgbColor rgb="FFF9FAFB"/>
      <rgbColor rgb="FFF3F4F6"/>
      <rgbColor rgb="FFFFF3E0"/>
      <rgbColor rgb="FFE5E7EB"/>
      <rgbColor rgb="FF8B5CF6"/>
      <rgbColor rgb="FFEA580C"/>
      <rgbColor rgb="FF3B82F6"/>
      <rgbColor rgb="FFF1F5F9"/>
      <rgbColor rgb="FF00CED1"/>
      <rgbColor rgb="FFEBF1F8"/>
      <rgbColor rgb="FFD1FAE5"/>
      <rgbColor rgb="FFFFF2CC"/>
      <rgbColor rgb="FFD6E4F0"/>
      <rgbColor rgb="FFFEE2E2"/>
      <rgbColor rgb="FF888888"/>
      <rgbColor rgb="FFFFE0E0"/>
      <rgbColor rgb="FF4169E1"/>
      <rgbColor rgb="FF14B8A6"/>
      <rgbColor rgb="FFEAB308"/>
      <rgbColor rgb="FFFFD700"/>
      <rgbColor rgb="FFFFA500"/>
      <rgbColor rgb="FFF97316"/>
      <rgbColor rgb="FF64748B"/>
      <rgbColor rgb="FF9CA3AF"/>
      <rgbColor rgb="FF1B3A5C"/>
      <rgbColor rgb="FF27AE60"/>
      <rgbColor rgb="FF111827"/>
      <rgbColor rgb="FF3A424D"/>
      <rgbColor rgb="FFB91C1C"/>
      <rgbColor rgb="FFDC2626"/>
      <rgbColor rgb="FF1E40AF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9"/>
  <sheetViews>
    <sheetView showGridLines="0" tabSelected="1"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" sqref="B2:J2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3" width="2" customWidth="1"/>
    <col min="4" max="4" width="28" customWidth="1"/>
    <col min="5" max="5" width="12" customWidth="1"/>
    <col min="6" max="6" width="44" customWidth="1"/>
    <col min="7" max="7" width="2" customWidth="1"/>
    <col min="8" max="8" width="26" customWidth="1"/>
    <col min="9" max="10" width="16" customWidth="1"/>
  </cols>
  <sheetData>
    <row r="2" spans="2:10" ht="27.75" customHeight="1" x14ac:dyDescent="0.3">
      <c r="B2" s="98" t="s">
        <v>0</v>
      </c>
      <c r="C2" s="98"/>
      <c r="D2" s="98"/>
      <c r="E2" s="98"/>
      <c r="F2" s="98"/>
      <c r="G2" s="98"/>
      <c r="H2" s="98"/>
      <c r="I2" s="98"/>
      <c r="J2" s="98"/>
    </row>
    <row r="3" spans="2:10" ht="24" customHeight="1" x14ac:dyDescent="0.3">
      <c r="B3" s="99" t="s">
        <v>1</v>
      </c>
      <c r="C3" s="99"/>
      <c r="D3" s="99"/>
      <c r="E3" s="99"/>
      <c r="F3" s="99"/>
      <c r="G3" s="99"/>
      <c r="H3" s="99"/>
      <c r="I3" s="99"/>
      <c r="J3" s="99"/>
    </row>
    <row r="4" spans="2:10" ht="14.25" customHeight="1" x14ac:dyDescent="0.3">
      <c r="H4" s="3" t="s">
        <v>2</v>
      </c>
    </row>
    <row r="5" spans="2:10" ht="14.25" customHeight="1" x14ac:dyDescent="0.3">
      <c r="H5" s="4" t="s">
        <v>3</v>
      </c>
      <c r="I5" s="100">
        <f>COUNTIF(E46:E69,"Terminé")</f>
        <v>24</v>
      </c>
      <c r="J5" s="100"/>
    </row>
    <row r="6" spans="2:10" ht="14.25" customHeight="1" x14ac:dyDescent="0.3">
      <c r="H6" s="4" t="s">
        <v>4</v>
      </c>
      <c r="I6" s="100" t="str">
        <f>IFERROR(ROUND(COUNTIF(E46:E69,"Terminé")/COUNTA(B46:B69)*100,0)&amp;"%","0%")</f>
        <v>100%</v>
      </c>
      <c r="J6" s="100"/>
    </row>
    <row r="7" spans="2:10" ht="14.25" customHeight="1" x14ac:dyDescent="0.3">
      <c r="H7" s="4" t="s">
        <v>5</v>
      </c>
      <c r="I7" s="100">
        <f>IFERROR(COUNTIFS(E46:E69,"&lt;&gt;Terminé",E46:E69,"&lt;&gt;"),0)</f>
        <v>0</v>
      </c>
      <c r="J7" s="100"/>
    </row>
    <row r="9" spans="2:10" ht="19.5" customHeight="1" x14ac:dyDescent="0.3">
      <c r="B9" s="96" t="s">
        <v>6</v>
      </c>
      <c r="C9" s="96"/>
      <c r="D9" s="96"/>
      <c r="E9" s="96"/>
      <c r="F9" s="96"/>
      <c r="G9" s="96"/>
      <c r="H9" s="96"/>
      <c r="I9" s="96"/>
      <c r="J9" s="96"/>
    </row>
    <row r="10" spans="2:10" ht="14.25" customHeight="1" x14ac:dyDescent="0.3">
      <c r="B10" s="93" t="s">
        <v>7</v>
      </c>
      <c r="C10" s="93"/>
      <c r="D10" s="93" t="s">
        <v>8</v>
      </c>
      <c r="E10" s="93"/>
      <c r="F10" s="93" t="s">
        <v>9</v>
      </c>
      <c r="G10" s="93"/>
      <c r="H10" s="93" t="s">
        <v>10</v>
      </c>
      <c r="I10" s="93"/>
      <c r="J10" s="93"/>
    </row>
    <row r="11" spans="2:10" ht="14.25" customHeight="1" x14ac:dyDescent="0.3">
      <c r="B11" s="90" t="s">
        <v>11</v>
      </c>
      <c r="C11" s="90"/>
      <c r="D11" s="94" t="s">
        <v>12</v>
      </c>
      <c r="E11" s="94"/>
      <c r="F11" s="95"/>
      <c r="G11" s="95"/>
      <c r="H11" s="90" t="s">
        <v>13</v>
      </c>
      <c r="I11" s="90"/>
      <c r="J11" s="90"/>
    </row>
    <row r="12" spans="2:10" ht="14.25" customHeight="1" x14ac:dyDescent="0.3">
      <c r="B12" s="90" t="s">
        <v>14</v>
      </c>
      <c r="C12" s="90"/>
      <c r="D12" s="94" t="s">
        <v>15</v>
      </c>
      <c r="E12" s="94"/>
      <c r="F12" s="95"/>
      <c r="G12" s="95"/>
      <c r="H12" s="90" t="s">
        <v>16</v>
      </c>
      <c r="I12" s="90"/>
      <c r="J12" s="90"/>
    </row>
    <row r="13" spans="2:10" ht="14.25" customHeight="1" x14ac:dyDescent="0.3">
      <c r="B13" s="90" t="s">
        <v>17</v>
      </c>
      <c r="C13" s="90"/>
      <c r="D13" s="94" t="s">
        <v>18</v>
      </c>
      <c r="E13" s="94"/>
      <c r="F13" s="95"/>
      <c r="G13" s="95"/>
      <c r="H13" s="90"/>
      <c r="I13" s="90"/>
      <c r="J13" s="90"/>
    </row>
    <row r="14" spans="2:10" ht="14.25" customHeight="1" x14ac:dyDescent="0.3">
      <c r="B14" s="90" t="s">
        <v>19</v>
      </c>
      <c r="C14" s="90"/>
      <c r="D14" s="94" t="s">
        <v>20</v>
      </c>
      <c r="E14" s="94"/>
      <c r="F14" s="95"/>
      <c r="G14" s="95"/>
      <c r="H14" s="90" t="s">
        <v>21</v>
      </c>
      <c r="I14" s="90"/>
      <c r="J14" s="90"/>
    </row>
    <row r="15" spans="2:10" ht="14.25" customHeight="1" x14ac:dyDescent="0.3">
      <c r="B15" s="90" t="s">
        <v>22</v>
      </c>
      <c r="C15" s="90"/>
      <c r="D15" s="94" t="s">
        <v>23</v>
      </c>
      <c r="E15" s="94"/>
      <c r="F15" s="95"/>
      <c r="G15" s="95"/>
      <c r="H15" s="90" t="s">
        <v>24</v>
      </c>
      <c r="I15" s="90"/>
      <c r="J15" s="90"/>
    </row>
    <row r="16" spans="2:10" ht="14.25" customHeight="1" x14ac:dyDescent="0.3">
      <c r="B16" s="90" t="s">
        <v>25</v>
      </c>
      <c r="C16" s="90"/>
      <c r="D16" s="94">
        <v>10000</v>
      </c>
      <c r="E16" s="94"/>
      <c r="F16" s="95" t="s">
        <v>26</v>
      </c>
      <c r="G16" s="95"/>
      <c r="H16" s="90"/>
      <c r="I16" s="90"/>
      <c r="J16" s="90"/>
    </row>
    <row r="17" spans="2:10" ht="14.25" customHeight="1" x14ac:dyDescent="0.3">
      <c r="B17" s="90" t="s">
        <v>27</v>
      </c>
      <c r="C17" s="90"/>
      <c r="D17" s="97">
        <v>46023</v>
      </c>
      <c r="E17" s="97"/>
      <c r="F17" s="95" t="s">
        <v>28</v>
      </c>
      <c r="G17" s="95"/>
      <c r="H17" s="90"/>
      <c r="I17" s="90"/>
      <c r="J17" s="90"/>
    </row>
    <row r="18" spans="2:10" ht="14.25" customHeight="1" x14ac:dyDescent="0.3">
      <c r="B18" s="90" t="s">
        <v>29</v>
      </c>
      <c r="C18" s="90"/>
      <c r="D18" s="97">
        <v>45931</v>
      </c>
      <c r="E18" s="97"/>
      <c r="F18" s="95" t="s">
        <v>28</v>
      </c>
      <c r="G18" s="95"/>
      <c r="H18" s="90"/>
      <c r="I18" s="90"/>
      <c r="J18" s="90"/>
    </row>
    <row r="19" spans="2:10" ht="14.25" customHeight="1" x14ac:dyDescent="0.3">
      <c r="B19" s="90" t="s">
        <v>30</v>
      </c>
      <c r="C19" s="90"/>
      <c r="D19" s="97">
        <v>46054</v>
      </c>
      <c r="E19" s="97"/>
      <c r="F19" s="95" t="s">
        <v>28</v>
      </c>
      <c r="G19" s="95"/>
      <c r="H19" s="90"/>
      <c r="I19" s="90"/>
      <c r="J19" s="90"/>
    </row>
    <row r="20" spans="2:10" ht="14.25" customHeight="1" x14ac:dyDescent="0.3">
      <c r="B20" s="90" t="s">
        <v>31</v>
      </c>
      <c r="C20" s="90"/>
      <c r="D20" s="94" t="s">
        <v>32</v>
      </c>
      <c r="E20" s="94"/>
      <c r="F20" s="95"/>
      <c r="G20" s="95"/>
      <c r="H20" s="90" t="s">
        <v>33</v>
      </c>
      <c r="I20" s="90"/>
      <c r="J20" s="90"/>
    </row>
    <row r="21" spans="2:10" ht="14.25" customHeight="1" x14ac:dyDescent="0.3">
      <c r="B21" s="90" t="s">
        <v>34</v>
      </c>
      <c r="C21" s="90"/>
      <c r="D21" s="94" t="s">
        <v>35</v>
      </c>
      <c r="E21" s="94"/>
      <c r="F21" s="95"/>
      <c r="G21" s="95"/>
      <c r="H21" s="90" t="s">
        <v>36</v>
      </c>
      <c r="I21" s="90"/>
      <c r="J21" s="90"/>
    </row>
    <row r="22" spans="2:10" ht="14.25" customHeight="1" x14ac:dyDescent="0.3">
      <c r="B22" s="90" t="s">
        <v>37</v>
      </c>
      <c r="C22" s="90"/>
      <c r="D22" s="94" t="s">
        <v>38</v>
      </c>
      <c r="E22" s="94"/>
      <c r="F22" s="95"/>
      <c r="G22" s="95"/>
      <c r="H22" s="90"/>
      <c r="I22" s="90"/>
      <c r="J22" s="90"/>
    </row>
    <row r="24" spans="2:10" ht="19.5" customHeight="1" x14ac:dyDescent="0.3">
      <c r="B24" s="96" t="s">
        <v>39</v>
      </c>
      <c r="C24" s="96"/>
      <c r="D24" s="96"/>
      <c r="E24" s="96"/>
      <c r="F24" s="96"/>
      <c r="G24" s="96"/>
      <c r="H24" s="96"/>
      <c r="I24" s="96"/>
      <c r="J24" s="96"/>
    </row>
    <row r="25" spans="2:10" ht="14.25" customHeight="1" x14ac:dyDescent="0.3">
      <c r="B25" s="93" t="s">
        <v>7</v>
      </c>
      <c r="C25" s="93"/>
      <c r="D25" s="93" t="s">
        <v>8</v>
      </c>
      <c r="E25" s="93"/>
      <c r="F25" s="93" t="s">
        <v>9</v>
      </c>
      <c r="G25" s="93"/>
      <c r="H25" s="93" t="s">
        <v>10</v>
      </c>
      <c r="I25" s="93"/>
      <c r="J25" s="93"/>
    </row>
    <row r="26" spans="2:10" ht="14.25" customHeight="1" x14ac:dyDescent="0.3">
      <c r="B26" s="90" t="s">
        <v>40</v>
      </c>
      <c r="C26" s="90"/>
      <c r="D26" s="94">
        <v>1</v>
      </c>
      <c r="E26" s="94"/>
      <c r="F26" s="95"/>
      <c r="G26" s="95"/>
      <c r="H26" s="90" t="s">
        <v>41</v>
      </c>
      <c r="I26" s="90"/>
      <c r="J26" s="90"/>
    </row>
    <row r="27" spans="2:10" ht="14.25" customHeight="1" x14ac:dyDescent="0.3">
      <c r="B27" s="90" t="s">
        <v>42</v>
      </c>
      <c r="C27" s="90"/>
      <c r="D27" s="94">
        <v>6</v>
      </c>
      <c r="E27" s="94"/>
      <c r="F27" s="95"/>
      <c r="G27" s="95"/>
      <c r="H27" s="90" t="s">
        <v>43</v>
      </c>
      <c r="I27" s="90"/>
      <c r="J27" s="90"/>
    </row>
    <row r="28" spans="2:10" ht="14.25" customHeight="1" x14ac:dyDescent="0.3">
      <c r="B28" s="90" t="s">
        <v>44</v>
      </c>
      <c r="C28" s="90"/>
      <c r="D28" s="94" t="s">
        <v>45</v>
      </c>
      <c r="E28" s="94"/>
      <c r="F28" s="95"/>
      <c r="G28" s="95"/>
      <c r="H28" s="90"/>
      <c r="I28" s="90"/>
      <c r="J28" s="90"/>
    </row>
    <row r="29" spans="2:10" ht="14.25" customHeight="1" x14ac:dyDescent="0.3">
      <c r="B29" s="90" t="s">
        <v>46</v>
      </c>
      <c r="C29" s="90"/>
      <c r="D29" s="94">
        <v>800</v>
      </c>
      <c r="E29" s="94"/>
      <c r="F29" s="95" t="s">
        <v>26</v>
      </c>
      <c r="G29" s="95"/>
      <c r="H29" s="90" t="s">
        <v>47</v>
      </c>
      <c r="I29" s="90"/>
      <c r="J29" s="90"/>
    </row>
    <row r="30" spans="2:10" ht="14.25" customHeight="1" x14ac:dyDescent="0.3">
      <c r="B30" s="90" t="s">
        <v>48</v>
      </c>
      <c r="C30" s="90"/>
      <c r="D30" s="94">
        <v>3</v>
      </c>
      <c r="E30" s="94"/>
      <c r="F30" s="95"/>
      <c r="G30" s="95"/>
      <c r="H30" s="90"/>
      <c r="I30" s="90"/>
      <c r="J30" s="90"/>
    </row>
    <row r="31" spans="2:10" ht="14.25" customHeight="1" x14ac:dyDescent="0.3">
      <c r="B31" s="90" t="s">
        <v>49</v>
      </c>
      <c r="C31" s="90"/>
      <c r="D31" s="94">
        <v>8</v>
      </c>
      <c r="E31" s="94"/>
      <c r="F31" s="95"/>
      <c r="G31" s="95"/>
      <c r="H31" s="90"/>
      <c r="I31" s="90"/>
      <c r="J31" s="90"/>
    </row>
    <row r="32" spans="2:10" ht="14.25" customHeight="1" x14ac:dyDescent="0.3">
      <c r="B32" s="90" t="s">
        <v>50</v>
      </c>
      <c r="C32" s="90"/>
      <c r="D32" s="94">
        <v>25</v>
      </c>
      <c r="E32" s="94"/>
      <c r="F32" s="95"/>
      <c r="G32" s="95"/>
      <c r="H32" s="90"/>
      <c r="I32" s="90"/>
      <c r="J32" s="90"/>
    </row>
    <row r="33" spans="2:10" ht="14.25" customHeight="1" x14ac:dyDescent="0.3">
      <c r="B33" s="90" t="s">
        <v>51</v>
      </c>
      <c r="C33" s="90"/>
      <c r="D33" s="94">
        <v>3000</v>
      </c>
      <c r="E33" s="94"/>
      <c r="F33" s="95" t="s">
        <v>52</v>
      </c>
      <c r="G33" s="95"/>
      <c r="H33" s="90"/>
      <c r="I33" s="90"/>
      <c r="J33" s="90"/>
    </row>
    <row r="34" spans="2:10" ht="14.25" customHeight="1" x14ac:dyDescent="0.3">
      <c r="B34" s="90" t="s">
        <v>53</v>
      </c>
      <c r="C34" s="90"/>
      <c r="D34" s="94" t="s">
        <v>54</v>
      </c>
      <c r="E34" s="94"/>
      <c r="F34" s="95"/>
      <c r="G34" s="95"/>
      <c r="H34" s="90"/>
      <c r="I34" s="90"/>
      <c r="J34" s="90"/>
    </row>
    <row r="36" spans="2:10" ht="19.5" customHeight="1" x14ac:dyDescent="0.3">
      <c r="B36" s="96" t="s">
        <v>55</v>
      </c>
      <c r="C36" s="96"/>
      <c r="D36" s="96"/>
      <c r="E36" s="96"/>
      <c r="F36" s="96"/>
      <c r="G36" s="96"/>
      <c r="H36" s="96"/>
      <c r="I36" s="96"/>
      <c r="J36" s="96"/>
    </row>
    <row r="37" spans="2:10" ht="14.25" customHeight="1" x14ac:dyDescent="0.3">
      <c r="B37" s="93" t="s">
        <v>7</v>
      </c>
      <c r="C37" s="93"/>
      <c r="D37" s="93" t="s">
        <v>8</v>
      </c>
      <c r="E37" s="93"/>
      <c r="F37" s="93" t="s">
        <v>9</v>
      </c>
      <c r="G37" s="93"/>
      <c r="H37" s="93" t="s">
        <v>10</v>
      </c>
      <c r="I37" s="93"/>
      <c r="J37" s="93"/>
    </row>
    <row r="38" spans="2:10" ht="14.25" customHeight="1" x14ac:dyDescent="0.3">
      <c r="B38" s="90" t="s">
        <v>56</v>
      </c>
      <c r="C38" s="90"/>
      <c r="D38" s="94">
        <v>10000</v>
      </c>
      <c r="E38" s="94"/>
      <c r="F38" s="95" t="s">
        <v>26</v>
      </c>
      <c r="G38" s="95"/>
      <c r="H38" s="90"/>
      <c r="I38" s="90"/>
      <c r="J38" s="90"/>
    </row>
    <row r="39" spans="2:10" ht="14.25" customHeight="1" x14ac:dyDescent="0.3">
      <c r="B39" s="90" t="s">
        <v>57</v>
      </c>
      <c r="C39" s="90"/>
      <c r="D39" s="94">
        <v>20000</v>
      </c>
      <c r="E39" s="94"/>
      <c r="F39" s="95" t="s">
        <v>26</v>
      </c>
      <c r="G39" s="95"/>
      <c r="H39" s="90"/>
      <c r="I39" s="90"/>
      <c r="J39" s="90"/>
    </row>
    <row r="40" spans="2:10" ht="14.25" customHeight="1" x14ac:dyDescent="0.3">
      <c r="B40" s="90" t="s">
        <v>58</v>
      </c>
      <c r="C40" s="90"/>
      <c r="D40" s="94">
        <v>2500</v>
      </c>
      <c r="E40" s="94"/>
      <c r="F40" s="95" t="s">
        <v>59</v>
      </c>
      <c r="G40" s="95"/>
      <c r="H40" s="90" t="s">
        <v>60</v>
      </c>
      <c r="I40" s="90"/>
      <c r="J40" s="90"/>
    </row>
    <row r="41" spans="2:10" ht="14.25" customHeight="1" x14ac:dyDescent="0.3">
      <c r="B41" s="90" t="s">
        <v>61</v>
      </c>
      <c r="C41" s="90"/>
      <c r="D41" s="94">
        <v>6</v>
      </c>
      <c r="E41" s="94"/>
      <c r="F41" s="95" t="s">
        <v>62</v>
      </c>
      <c r="G41" s="95"/>
      <c r="H41" s="90" t="s">
        <v>63</v>
      </c>
      <c r="I41" s="90"/>
      <c r="J41" s="90"/>
    </row>
    <row r="44" spans="2:10" ht="19.5" customHeight="1" x14ac:dyDescent="0.3">
      <c r="B44" s="96" t="s">
        <v>64</v>
      </c>
      <c r="C44" s="96"/>
      <c r="D44" s="96"/>
      <c r="E44" s="96"/>
      <c r="F44" s="96"/>
      <c r="G44" s="96"/>
      <c r="H44" s="96"/>
      <c r="I44" s="96"/>
      <c r="J44" s="96"/>
    </row>
    <row r="45" spans="2:10" ht="14.25" customHeight="1" x14ac:dyDescent="0.3">
      <c r="B45" s="2" t="s">
        <v>65</v>
      </c>
      <c r="C45" s="93" t="s">
        <v>66</v>
      </c>
      <c r="D45" s="93"/>
      <c r="E45" s="93" t="s">
        <v>67</v>
      </c>
      <c r="F45" s="93"/>
      <c r="G45" s="93"/>
      <c r="H45" s="93" t="s">
        <v>68</v>
      </c>
      <c r="I45" s="93"/>
      <c r="J45" s="93"/>
    </row>
    <row r="46" spans="2:10" ht="41.25" customHeight="1" x14ac:dyDescent="0.3">
      <c r="B46" s="1" t="s">
        <v>69</v>
      </c>
      <c r="C46" s="90" t="s">
        <v>70</v>
      </c>
      <c r="D46" s="90"/>
      <c r="E46" s="91" t="s">
        <v>71</v>
      </c>
      <c r="F46" s="91"/>
      <c r="G46" s="91"/>
      <c r="H46" s="92" t="s">
        <v>72</v>
      </c>
      <c r="I46" s="92"/>
      <c r="J46" s="92"/>
    </row>
    <row r="47" spans="2:10" ht="54.75" customHeight="1" x14ac:dyDescent="0.3">
      <c r="B47" s="1" t="s">
        <v>73</v>
      </c>
      <c r="C47" s="90" t="s">
        <v>74</v>
      </c>
      <c r="D47" s="90"/>
      <c r="E47" s="91" t="s">
        <v>71</v>
      </c>
      <c r="F47" s="91"/>
      <c r="G47" s="91"/>
      <c r="H47" s="92" t="s">
        <v>75</v>
      </c>
      <c r="I47" s="92"/>
      <c r="J47" s="92"/>
    </row>
    <row r="48" spans="2:10" ht="54.75" customHeight="1" x14ac:dyDescent="0.3">
      <c r="B48" s="1" t="s">
        <v>76</v>
      </c>
      <c r="C48" s="90" t="s">
        <v>77</v>
      </c>
      <c r="D48" s="90"/>
      <c r="E48" s="91" t="s">
        <v>71</v>
      </c>
      <c r="F48" s="91"/>
      <c r="G48" s="91"/>
      <c r="H48" s="92" t="s">
        <v>78</v>
      </c>
      <c r="I48" s="92"/>
      <c r="J48" s="92"/>
    </row>
    <row r="49" spans="2:10" ht="41.25" customHeight="1" x14ac:dyDescent="0.3">
      <c r="B49" s="1" t="s">
        <v>79</v>
      </c>
      <c r="C49" s="90" t="s">
        <v>80</v>
      </c>
      <c r="D49" s="90"/>
      <c r="E49" s="91" t="s">
        <v>71</v>
      </c>
      <c r="F49" s="91"/>
      <c r="G49" s="91"/>
      <c r="H49" s="92" t="s">
        <v>81</v>
      </c>
      <c r="I49" s="92"/>
      <c r="J49" s="92"/>
    </row>
    <row r="50" spans="2:10" ht="54.75" customHeight="1" x14ac:dyDescent="0.3">
      <c r="B50" s="1" t="s">
        <v>82</v>
      </c>
      <c r="C50" s="90" t="s">
        <v>83</v>
      </c>
      <c r="D50" s="90"/>
      <c r="E50" s="91" t="s">
        <v>71</v>
      </c>
      <c r="F50" s="91"/>
      <c r="G50" s="91"/>
      <c r="H50" s="92" t="s">
        <v>84</v>
      </c>
      <c r="I50" s="92"/>
      <c r="J50" s="92"/>
    </row>
    <row r="51" spans="2:10" ht="54.75" customHeight="1" x14ac:dyDescent="0.3">
      <c r="B51" s="1" t="s">
        <v>85</v>
      </c>
      <c r="C51" s="90" t="s">
        <v>86</v>
      </c>
      <c r="D51" s="90"/>
      <c r="E51" s="91" t="s">
        <v>71</v>
      </c>
      <c r="F51" s="91"/>
      <c r="G51" s="91"/>
      <c r="H51" s="92" t="s">
        <v>87</v>
      </c>
      <c r="I51" s="92"/>
      <c r="J51" s="92"/>
    </row>
    <row r="52" spans="2:10" ht="27.75" customHeight="1" x14ac:dyDescent="0.3">
      <c r="B52" s="1" t="s">
        <v>88</v>
      </c>
      <c r="C52" s="90" t="s">
        <v>89</v>
      </c>
      <c r="D52" s="90"/>
      <c r="E52" s="91" t="s">
        <v>71</v>
      </c>
      <c r="F52" s="91"/>
      <c r="G52" s="91"/>
      <c r="H52" s="92" t="s">
        <v>90</v>
      </c>
      <c r="I52" s="92"/>
      <c r="J52" s="92"/>
    </row>
    <row r="53" spans="2:10" ht="41.25" customHeight="1" x14ac:dyDescent="0.3">
      <c r="B53" s="1" t="s">
        <v>91</v>
      </c>
      <c r="C53" s="90" t="s">
        <v>92</v>
      </c>
      <c r="D53" s="90"/>
      <c r="E53" s="91" t="s">
        <v>71</v>
      </c>
      <c r="F53" s="91"/>
      <c r="G53" s="91"/>
      <c r="H53" s="92" t="s">
        <v>93</v>
      </c>
      <c r="I53" s="92"/>
      <c r="J53" s="92"/>
    </row>
    <row r="54" spans="2:10" ht="27.75" customHeight="1" x14ac:dyDescent="0.3">
      <c r="B54" s="1" t="s">
        <v>94</v>
      </c>
      <c r="C54" s="90" t="s">
        <v>95</v>
      </c>
      <c r="D54" s="90"/>
      <c r="E54" s="91" t="s">
        <v>71</v>
      </c>
      <c r="F54" s="91"/>
      <c r="G54" s="91"/>
      <c r="H54" s="92" t="s">
        <v>96</v>
      </c>
      <c r="I54" s="92"/>
      <c r="J54" s="92"/>
    </row>
    <row r="55" spans="2:10" ht="41.25" customHeight="1" x14ac:dyDescent="0.3">
      <c r="B55" s="1" t="s">
        <v>97</v>
      </c>
      <c r="C55" s="90" t="s">
        <v>98</v>
      </c>
      <c r="D55" s="90"/>
      <c r="E55" s="91" t="s">
        <v>71</v>
      </c>
      <c r="F55" s="91"/>
      <c r="G55" s="91"/>
      <c r="H55" s="92" t="s">
        <v>99</v>
      </c>
      <c r="I55" s="92"/>
      <c r="J55" s="92"/>
    </row>
    <row r="56" spans="2:10" ht="54.75" customHeight="1" x14ac:dyDescent="0.3">
      <c r="B56" s="1" t="s">
        <v>100</v>
      </c>
      <c r="C56" s="90" t="s">
        <v>101</v>
      </c>
      <c r="D56" s="90"/>
      <c r="E56" s="91" t="s">
        <v>71</v>
      </c>
      <c r="F56" s="91"/>
      <c r="G56" s="91"/>
      <c r="H56" s="92" t="s">
        <v>102</v>
      </c>
      <c r="I56" s="92"/>
      <c r="J56" s="92"/>
    </row>
    <row r="57" spans="2:10" ht="54.75" customHeight="1" x14ac:dyDescent="0.3">
      <c r="B57" s="1" t="s">
        <v>103</v>
      </c>
      <c r="C57" s="90" t="s">
        <v>104</v>
      </c>
      <c r="D57" s="90"/>
      <c r="E57" s="91" t="s">
        <v>71</v>
      </c>
      <c r="F57" s="91"/>
      <c r="G57" s="91"/>
      <c r="H57" s="92" t="s">
        <v>105</v>
      </c>
      <c r="I57" s="92"/>
      <c r="J57" s="92"/>
    </row>
    <row r="58" spans="2:10" ht="54.75" customHeight="1" x14ac:dyDescent="0.3">
      <c r="B58" s="1" t="s">
        <v>106</v>
      </c>
      <c r="C58" s="90" t="s">
        <v>107</v>
      </c>
      <c r="D58" s="90"/>
      <c r="E58" s="91" t="s">
        <v>71</v>
      </c>
      <c r="F58" s="91"/>
      <c r="G58" s="91"/>
      <c r="H58" s="92" t="s">
        <v>108</v>
      </c>
      <c r="I58" s="92"/>
      <c r="J58" s="92"/>
    </row>
    <row r="59" spans="2:10" ht="41.25" customHeight="1" x14ac:dyDescent="0.3">
      <c r="B59" s="1" t="s">
        <v>109</v>
      </c>
      <c r="C59" s="90" t="s">
        <v>110</v>
      </c>
      <c r="D59" s="90"/>
      <c r="E59" s="91" t="s">
        <v>71</v>
      </c>
      <c r="F59" s="91"/>
      <c r="G59" s="91"/>
      <c r="H59" s="92" t="s">
        <v>111</v>
      </c>
      <c r="I59" s="92"/>
      <c r="J59" s="92"/>
    </row>
    <row r="60" spans="2:10" ht="54.75" customHeight="1" x14ac:dyDescent="0.3">
      <c r="B60" s="1" t="s">
        <v>112</v>
      </c>
      <c r="C60" s="90" t="s">
        <v>113</v>
      </c>
      <c r="D60" s="90"/>
      <c r="E60" s="91" t="s">
        <v>71</v>
      </c>
      <c r="F60" s="91"/>
      <c r="G60" s="91"/>
      <c r="H60" s="92" t="s">
        <v>114</v>
      </c>
      <c r="I60" s="92"/>
      <c r="J60" s="92"/>
    </row>
    <row r="61" spans="2:10" ht="41.25" customHeight="1" x14ac:dyDescent="0.3">
      <c r="B61" s="1" t="s">
        <v>115</v>
      </c>
      <c r="C61" s="90" t="s">
        <v>116</v>
      </c>
      <c r="D61" s="90"/>
      <c r="E61" s="91" t="s">
        <v>71</v>
      </c>
      <c r="F61" s="91"/>
      <c r="G61" s="91"/>
      <c r="H61" s="92" t="s">
        <v>117</v>
      </c>
      <c r="I61" s="92"/>
      <c r="J61" s="92"/>
    </row>
    <row r="62" spans="2:10" ht="41.25" customHeight="1" x14ac:dyDescent="0.3">
      <c r="B62" s="1" t="s">
        <v>118</v>
      </c>
      <c r="C62" s="90" t="s">
        <v>119</v>
      </c>
      <c r="D62" s="90"/>
      <c r="E62" s="91" t="s">
        <v>71</v>
      </c>
      <c r="F62" s="91"/>
      <c r="G62" s="91"/>
      <c r="H62" s="92" t="s">
        <v>120</v>
      </c>
      <c r="I62" s="92"/>
      <c r="J62" s="92"/>
    </row>
    <row r="63" spans="2:10" ht="54.75" customHeight="1" x14ac:dyDescent="0.3">
      <c r="B63" s="1" t="s">
        <v>121</v>
      </c>
      <c r="C63" s="90" t="s">
        <v>122</v>
      </c>
      <c r="D63" s="90"/>
      <c r="E63" s="91" t="s">
        <v>71</v>
      </c>
      <c r="F63" s="91"/>
      <c r="G63" s="91"/>
      <c r="H63" s="92" t="s">
        <v>123</v>
      </c>
      <c r="I63" s="92"/>
      <c r="J63" s="92"/>
    </row>
    <row r="64" spans="2:10" ht="41.25" customHeight="1" x14ac:dyDescent="0.3">
      <c r="B64" s="1" t="s">
        <v>124</v>
      </c>
      <c r="C64" s="90" t="s">
        <v>125</v>
      </c>
      <c r="D64" s="90"/>
      <c r="E64" s="91" t="s">
        <v>71</v>
      </c>
      <c r="F64" s="91"/>
      <c r="G64" s="91"/>
      <c r="H64" s="92" t="s">
        <v>126</v>
      </c>
      <c r="I64" s="92"/>
      <c r="J64" s="92"/>
    </row>
    <row r="65" spans="2:10" ht="41.25" customHeight="1" x14ac:dyDescent="0.3">
      <c r="B65" s="1" t="s">
        <v>127</v>
      </c>
      <c r="C65" s="90" t="s">
        <v>128</v>
      </c>
      <c r="D65" s="90"/>
      <c r="E65" s="91" t="s">
        <v>71</v>
      </c>
      <c r="F65" s="91"/>
      <c r="G65" s="91"/>
      <c r="H65" s="92" t="s">
        <v>129</v>
      </c>
      <c r="I65" s="92"/>
      <c r="J65" s="92"/>
    </row>
    <row r="66" spans="2:10" ht="27.75" customHeight="1" x14ac:dyDescent="0.3">
      <c r="B66" s="1" t="s">
        <v>130</v>
      </c>
      <c r="C66" s="90" t="s">
        <v>131</v>
      </c>
      <c r="D66" s="90"/>
      <c r="E66" s="91" t="s">
        <v>71</v>
      </c>
      <c r="F66" s="91"/>
      <c r="G66" s="91"/>
      <c r="H66" s="92" t="s">
        <v>132</v>
      </c>
      <c r="I66" s="92"/>
      <c r="J66" s="92"/>
    </row>
    <row r="67" spans="2:10" ht="41.25" customHeight="1" x14ac:dyDescent="0.3">
      <c r="B67" s="1" t="s">
        <v>133</v>
      </c>
      <c r="C67" s="90" t="s">
        <v>134</v>
      </c>
      <c r="D67" s="90"/>
      <c r="E67" s="91" t="s">
        <v>71</v>
      </c>
      <c r="F67" s="91"/>
      <c r="G67" s="91"/>
      <c r="H67" s="92" t="s">
        <v>135</v>
      </c>
      <c r="I67" s="92"/>
      <c r="J67" s="92"/>
    </row>
    <row r="68" spans="2:10" ht="41.25" customHeight="1" x14ac:dyDescent="0.3">
      <c r="B68" s="1" t="s">
        <v>136</v>
      </c>
      <c r="C68" s="90" t="s">
        <v>137</v>
      </c>
      <c r="D68" s="90"/>
      <c r="E68" s="91" t="s">
        <v>71</v>
      </c>
      <c r="F68" s="91"/>
      <c r="G68" s="91"/>
      <c r="H68" s="92" t="s">
        <v>138</v>
      </c>
      <c r="I68" s="92"/>
      <c r="J68" s="92"/>
    </row>
    <row r="69" spans="2:10" ht="27.75" customHeight="1" x14ac:dyDescent="0.3">
      <c r="B69" s="1" t="s">
        <v>139</v>
      </c>
      <c r="C69" s="90" t="s">
        <v>140</v>
      </c>
      <c r="D69" s="90"/>
      <c r="E69" s="91" t="s">
        <v>71</v>
      </c>
      <c r="F69" s="91"/>
      <c r="G69" s="91"/>
      <c r="H69" s="92" t="s">
        <v>141</v>
      </c>
      <c r="I69" s="92"/>
      <c r="J69" s="92"/>
    </row>
  </sheetData>
  <mergeCells count="196">
    <mergeCell ref="B2:J2"/>
    <mergeCell ref="B3:J3"/>
    <mergeCell ref="I5:J5"/>
    <mergeCell ref="I6:J6"/>
    <mergeCell ref="I7:J7"/>
    <mergeCell ref="B9:J9"/>
    <mergeCell ref="B10:C10"/>
    <mergeCell ref="D10:E10"/>
    <mergeCell ref="F10:G10"/>
    <mergeCell ref="H10:J10"/>
    <mergeCell ref="B11:C11"/>
    <mergeCell ref="D11:E11"/>
    <mergeCell ref="F11:G11"/>
    <mergeCell ref="H11:J11"/>
    <mergeCell ref="B12:C12"/>
    <mergeCell ref="D12:E12"/>
    <mergeCell ref="F12:G12"/>
    <mergeCell ref="H12:J12"/>
    <mergeCell ref="B13:C13"/>
    <mergeCell ref="D13:E13"/>
    <mergeCell ref="F13:G13"/>
    <mergeCell ref="H13:J13"/>
    <mergeCell ref="B14:C14"/>
    <mergeCell ref="D14:E14"/>
    <mergeCell ref="F14:G14"/>
    <mergeCell ref="H14:J14"/>
    <mergeCell ref="B15:C15"/>
    <mergeCell ref="D15:E15"/>
    <mergeCell ref="F15:G15"/>
    <mergeCell ref="H15:J15"/>
    <mergeCell ref="B16:C16"/>
    <mergeCell ref="D16:E16"/>
    <mergeCell ref="F16:G16"/>
    <mergeCell ref="H16:J16"/>
    <mergeCell ref="B17:C17"/>
    <mergeCell ref="D17:E17"/>
    <mergeCell ref="F17:G17"/>
    <mergeCell ref="H17:J17"/>
    <mergeCell ref="B18:C18"/>
    <mergeCell ref="D18:E18"/>
    <mergeCell ref="F18:G18"/>
    <mergeCell ref="H18:J18"/>
    <mergeCell ref="B19:C19"/>
    <mergeCell ref="D19:E19"/>
    <mergeCell ref="F19:G19"/>
    <mergeCell ref="H19:J19"/>
    <mergeCell ref="B20:C20"/>
    <mergeCell ref="D20:E20"/>
    <mergeCell ref="F20:G20"/>
    <mergeCell ref="H20:J20"/>
    <mergeCell ref="B21:C21"/>
    <mergeCell ref="D21:E21"/>
    <mergeCell ref="F21:G21"/>
    <mergeCell ref="H21:J21"/>
    <mergeCell ref="B22:C22"/>
    <mergeCell ref="D22:E22"/>
    <mergeCell ref="F22:G22"/>
    <mergeCell ref="H22:J22"/>
    <mergeCell ref="B24:J24"/>
    <mergeCell ref="B25:C25"/>
    <mergeCell ref="D25:E25"/>
    <mergeCell ref="F25:G25"/>
    <mergeCell ref="H25:J25"/>
    <mergeCell ref="B26:C26"/>
    <mergeCell ref="D26:E26"/>
    <mergeCell ref="F26:G26"/>
    <mergeCell ref="H26:J26"/>
    <mergeCell ref="B27:C27"/>
    <mergeCell ref="D27:E27"/>
    <mergeCell ref="F27:G27"/>
    <mergeCell ref="H27:J27"/>
    <mergeCell ref="B28:C28"/>
    <mergeCell ref="D28:E28"/>
    <mergeCell ref="F28:G28"/>
    <mergeCell ref="H28:J28"/>
    <mergeCell ref="B29:C29"/>
    <mergeCell ref="D29:E29"/>
    <mergeCell ref="F29:G29"/>
    <mergeCell ref="H29:J29"/>
    <mergeCell ref="B30:C30"/>
    <mergeCell ref="D30:E30"/>
    <mergeCell ref="F30:G30"/>
    <mergeCell ref="H30:J30"/>
    <mergeCell ref="B31:C31"/>
    <mergeCell ref="D31:E31"/>
    <mergeCell ref="F31:G31"/>
    <mergeCell ref="H31:J31"/>
    <mergeCell ref="B32:C32"/>
    <mergeCell ref="D32:E32"/>
    <mergeCell ref="F32:G32"/>
    <mergeCell ref="H32:J32"/>
    <mergeCell ref="B33:C33"/>
    <mergeCell ref="D33:E33"/>
    <mergeCell ref="F33:G33"/>
    <mergeCell ref="H33:J33"/>
    <mergeCell ref="B34:C34"/>
    <mergeCell ref="D34:E34"/>
    <mergeCell ref="F34:G34"/>
    <mergeCell ref="H34:J34"/>
    <mergeCell ref="B36:J36"/>
    <mergeCell ref="B37:C37"/>
    <mergeCell ref="D37:E37"/>
    <mergeCell ref="F37:G37"/>
    <mergeCell ref="H37:J37"/>
    <mergeCell ref="B38:C38"/>
    <mergeCell ref="D38:E38"/>
    <mergeCell ref="F38:G38"/>
    <mergeCell ref="H38:J38"/>
    <mergeCell ref="B39:C39"/>
    <mergeCell ref="D39:E39"/>
    <mergeCell ref="F39:G39"/>
    <mergeCell ref="H39:J39"/>
    <mergeCell ref="B40:C40"/>
    <mergeCell ref="D40:E40"/>
    <mergeCell ref="F40:G40"/>
    <mergeCell ref="H40:J40"/>
    <mergeCell ref="B41:C41"/>
    <mergeCell ref="D41:E41"/>
    <mergeCell ref="F41:G41"/>
    <mergeCell ref="H41:J41"/>
    <mergeCell ref="B44:J44"/>
    <mergeCell ref="C45:D45"/>
    <mergeCell ref="E45:G45"/>
    <mergeCell ref="H45:J45"/>
    <mergeCell ref="C46:D46"/>
    <mergeCell ref="E46:G46"/>
    <mergeCell ref="H46:J46"/>
    <mergeCell ref="C47:D47"/>
    <mergeCell ref="E47:G47"/>
    <mergeCell ref="H47:J47"/>
    <mergeCell ref="C48:D48"/>
    <mergeCell ref="E48:G48"/>
    <mergeCell ref="H48:J48"/>
    <mergeCell ref="C49:D49"/>
    <mergeCell ref="E49:G49"/>
    <mergeCell ref="H49:J49"/>
    <mergeCell ref="C50:D50"/>
    <mergeCell ref="E50:G50"/>
    <mergeCell ref="H50:J50"/>
    <mergeCell ref="C51:D51"/>
    <mergeCell ref="E51:G51"/>
    <mergeCell ref="H51:J51"/>
    <mergeCell ref="C52:D52"/>
    <mergeCell ref="E52:G52"/>
    <mergeCell ref="H52:J52"/>
    <mergeCell ref="C53:D53"/>
    <mergeCell ref="E53:G53"/>
    <mergeCell ref="H53:J53"/>
    <mergeCell ref="C54:D54"/>
    <mergeCell ref="E54:G54"/>
    <mergeCell ref="H54:J54"/>
    <mergeCell ref="C55:D55"/>
    <mergeCell ref="E55:G55"/>
    <mergeCell ref="H55:J55"/>
    <mergeCell ref="C56:D56"/>
    <mergeCell ref="E56:G56"/>
    <mergeCell ref="H56:J56"/>
    <mergeCell ref="C57:D57"/>
    <mergeCell ref="E57:G57"/>
    <mergeCell ref="H57:J57"/>
    <mergeCell ref="C58:D58"/>
    <mergeCell ref="E58:G58"/>
    <mergeCell ref="H58:J58"/>
    <mergeCell ref="C59:D59"/>
    <mergeCell ref="E59:G59"/>
    <mergeCell ref="H59:J59"/>
    <mergeCell ref="C60:D60"/>
    <mergeCell ref="E60:G60"/>
    <mergeCell ref="H60:J60"/>
    <mergeCell ref="C61:D61"/>
    <mergeCell ref="E61:G61"/>
    <mergeCell ref="H61:J61"/>
    <mergeCell ref="C62:D62"/>
    <mergeCell ref="E62:G62"/>
    <mergeCell ref="H62:J62"/>
    <mergeCell ref="C63:D63"/>
    <mergeCell ref="E63:G63"/>
    <mergeCell ref="H63:J63"/>
    <mergeCell ref="C64:D64"/>
    <mergeCell ref="E64:G64"/>
    <mergeCell ref="H64:J64"/>
    <mergeCell ref="C65:D65"/>
    <mergeCell ref="E65:G65"/>
    <mergeCell ref="H65:J65"/>
    <mergeCell ref="C69:D69"/>
    <mergeCell ref="E69:G69"/>
    <mergeCell ref="H69:J69"/>
    <mergeCell ref="C66:D66"/>
    <mergeCell ref="E66:G66"/>
    <mergeCell ref="H66:J66"/>
    <mergeCell ref="C67:D67"/>
    <mergeCell ref="E67:G67"/>
    <mergeCell ref="H67:J67"/>
    <mergeCell ref="C68:D68"/>
    <mergeCell ref="E68:G68"/>
    <mergeCell ref="H68:J68"/>
  </mergeCells>
  <dataValidations count="1">
    <dataValidation type="list" sqref="E46:E69" xr:uid="{00000000-0002-0000-0000-000000000000}">
      <formula1>"A faire,En cours,Terminé,Bloquant"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97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18" customWidth="1"/>
    <col min="3" max="3" width="80" customWidth="1"/>
  </cols>
  <sheetData>
    <row r="2" spans="2:12" ht="26.25" customHeight="1" x14ac:dyDescent="0.45">
      <c r="B2" s="106" t="s">
        <v>142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2:12" ht="15" customHeight="1" x14ac:dyDescent="0.3">
      <c r="B3" s="107" t="s">
        <v>143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5" spans="2:12" ht="17.25" customHeight="1" x14ac:dyDescent="0.3">
      <c r="B5" s="108" t="s">
        <v>144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</row>
    <row r="6" spans="2:12" ht="15" customHeight="1" x14ac:dyDescent="0.3">
      <c r="B6" s="5"/>
    </row>
    <row r="7" spans="2:12" ht="15" customHeight="1" x14ac:dyDescent="0.3">
      <c r="B7" s="5" t="s">
        <v>145</v>
      </c>
    </row>
    <row r="8" spans="2:12" ht="15" customHeight="1" x14ac:dyDescent="0.3">
      <c r="B8" s="5"/>
    </row>
    <row r="9" spans="2:12" ht="15" customHeight="1" x14ac:dyDescent="0.3">
      <c r="B9" s="5" t="s">
        <v>146</v>
      </c>
    </row>
    <row r="10" spans="2:12" ht="15" customHeight="1" x14ac:dyDescent="0.3">
      <c r="B10" s="5" t="s">
        <v>147</v>
      </c>
    </row>
    <row r="11" spans="2:12" ht="15" customHeight="1" x14ac:dyDescent="0.3">
      <c r="B11" s="5" t="s">
        <v>148</v>
      </c>
    </row>
    <row r="12" spans="2:12" ht="15" customHeight="1" x14ac:dyDescent="0.3">
      <c r="B12" s="5" t="s">
        <v>149</v>
      </c>
    </row>
    <row r="13" spans="2:12" ht="15" customHeight="1" x14ac:dyDescent="0.3">
      <c r="B13" s="5"/>
    </row>
    <row r="14" spans="2:12" ht="15" customHeight="1" x14ac:dyDescent="0.3">
      <c r="B14" s="5" t="s">
        <v>150</v>
      </c>
    </row>
    <row r="16" spans="2:12" ht="17.25" customHeight="1" x14ac:dyDescent="0.3">
      <c r="B16" s="109" t="s">
        <v>151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</row>
    <row r="17" spans="2:2" ht="15" customHeight="1" x14ac:dyDescent="0.3">
      <c r="B17" s="5"/>
    </row>
    <row r="18" spans="2:2" ht="15" customHeight="1" x14ac:dyDescent="0.3">
      <c r="B18" s="5" t="s">
        <v>152</v>
      </c>
    </row>
    <row r="19" spans="2:2" ht="15" customHeight="1" x14ac:dyDescent="0.3">
      <c r="B19" s="5" t="s">
        <v>153</v>
      </c>
    </row>
    <row r="20" spans="2:2" ht="15" customHeight="1" x14ac:dyDescent="0.3">
      <c r="B20" s="5" t="s">
        <v>154</v>
      </c>
    </row>
    <row r="21" spans="2:2" ht="15" customHeight="1" x14ac:dyDescent="0.3">
      <c r="B21" s="5"/>
    </row>
    <row r="22" spans="2:2" ht="15" customHeight="1" x14ac:dyDescent="0.3">
      <c r="B22" s="5" t="s">
        <v>155</v>
      </c>
    </row>
    <row r="23" spans="2:2" ht="15" customHeight="1" x14ac:dyDescent="0.3">
      <c r="B23" s="5" t="s">
        <v>156</v>
      </c>
    </row>
    <row r="24" spans="2:2" ht="15" customHeight="1" x14ac:dyDescent="0.3">
      <c r="B24" s="5" t="s">
        <v>157</v>
      </c>
    </row>
    <row r="25" spans="2:2" ht="15" customHeight="1" x14ac:dyDescent="0.3">
      <c r="B25" s="5"/>
    </row>
    <row r="26" spans="2:2" ht="15" customHeight="1" x14ac:dyDescent="0.3">
      <c r="B26" s="5" t="s">
        <v>158</v>
      </c>
    </row>
    <row r="27" spans="2:2" ht="15" customHeight="1" x14ac:dyDescent="0.3">
      <c r="B27" s="5" t="s">
        <v>159</v>
      </c>
    </row>
    <row r="28" spans="2:2" ht="15" customHeight="1" x14ac:dyDescent="0.3">
      <c r="B28" s="5" t="s">
        <v>160</v>
      </c>
    </row>
    <row r="29" spans="2:2" ht="15" customHeight="1" x14ac:dyDescent="0.3">
      <c r="B29" s="5"/>
    </row>
    <row r="30" spans="2:2" ht="15" customHeight="1" x14ac:dyDescent="0.3">
      <c r="B30" s="5" t="s">
        <v>161</v>
      </c>
    </row>
    <row r="31" spans="2:2" ht="15" customHeight="1" x14ac:dyDescent="0.3">
      <c r="B31" s="5" t="s">
        <v>162</v>
      </c>
    </row>
    <row r="32" spans="2:2" ht="15" customHeight="1" x14ac:dyDescent="0.3">
      <c r="B32" s="5" t="s">
        <v>163</v>
      </c>
    </row>
    <row r="33" spans="2:12" ht="15" customHeight="1" x14ac:dyDescent="0.3">
      <c r="B33" s="5"/>
    </row>
    <row r="34" spans="2:12" ht="15" customHeight="1" x14ac:dyDescent="0.3">
      <c r="B34" s="5" t="s">
        <v>164</v>
      </c>
    </row>
    <row r="35" spans="2:12" ht="15" customHeight="1" x14ac:dyDescent="0.3">
      <c r="B35" s="5" t="s">
        <v>165</v>
      </c>
    </row>
    <row r="36" spans="2:12" ht="15" customHeight="1" x14ac:dyDescent="0.3">
      <c r="B36" s="5" t="s">
        <v>166</v>
      </c>
    </row>
    <row r="38" spans="2:12" ht="17.25" customHeight="1" x14ac:dyDescent="0.3">
      <c r="B38" s="110" t="s">
        <v>167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2:12" ht="15" customHeight="1" x14ac:dyDescent="0.3">
      <c r="B39" s="5"/>
    </row>
    <row r="40" spans="2:12" ht="15" customHeight="1" x14ac:dyDescent="0.3">
      <c r="B40" s="5" t="s">
        <v>168</v>
      </c>
    </row>
    <row r="41" spans="2:12" ht="15" customHeight="1" x14ac:dyDescent="0.3">
      <c r="B41" s="5"/>
    </row>
    <row r="42" spans="2:12" ht="15" customHeight="1" x14ac:dyDescent="0.3">
      <c r="B42" s="5" t="s">
        <v>169</v>
      </c>
    </row>
    <row r="43" spans="2:12" ht="15" customHeight="1" x14ac:dyDescent="0.3">
      <c r="B43" s="5" t="s">
        <v>170</v>
      </c>
    </row>
    <row r="44" spans="2:12" ht="15" customHeight="1" x14ac:dyDescent="0.3">
      <c r="B44" s="5" t="s">
        <v>171</v>
      </c>
    </row>
    <row r="45" spans="2:12" ht="15" customHeight="1" x14ac:dyDescent="0.3">
      <c r="B45" s="5" t="s">
        <v>172</v>
      </c>
    </row>
    <row r="46" spans="2:12" ht="15" customHeight="1" x14ac:dyDescent="0.3">
      <c r="B46" s="6" t="s">
        <v>173</v>
      </c>
    </row>
    <row r="47" spans="2:12" ht="15" customHeight="1" x14ac:dyDescent="0.3">
      <c r="B47" s="5" t="s">
        <v>174</v>
      </c>
    </row>
    <row r="48" spans="2:12" ht="15" customHeight="1" x14ac:dyDescent="0.3">
      <c r="B48" s="5" t="s">
        <v>175</v>
      </c>
    </row>
    <row r="49" spans="2:12" ht="31.5" customHeight="1" x14ac:dyDescent="0.3">
      <c r="B49" s="7" t="s">
        <v>176</v>
      </c>
    </row>
    <row r="50" spans="2:12" ht="17.25" customHeight="1" x14ac:dyDescent="0.3">
      <c r="B50" s="8" t="s">
        <v>177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2:12" ht="14.25" customHeight="1" x14ac:dyDescent="0.3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2:12" ht="15" customHeight="1" x14ac:dyDescent="0.3">
      <c r="B52" s="11" t="s">
        <v>178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2:12" ht="15" customHeight="1" x14ac:dyDescent="0.3"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2:12" ht="15" customHeight="1" x14ac:dyDescent="0.3">
      <c r="B54" s="13" t="s">
        <v>179</v>
      </c>
      <c r="C54" s="14" t="s">
        <v>180</v>
      </c>
      <c r="D54" s="15" t="s">
        <v>181</v>
      </c>
      <c r="E54" s="10"/>
      <c r="F54" s="10"/>
      <c r="G54" s="10"/>
      <c r="H54" s="10"/>
      <c r="I54" s="10"/>
      <c r="J54" s="10"/>
      <c r="K54" s="10"/>
      <c r="L54" s="10"/>
    </row>
    <row r="55" spans="2:12" ht="15" customHeight="1" x14ac:dyDescent="0.3">
      <c r="B55" s="16" t="s">
        <v>179</v>
      </c>
      <c r="C55" s="14" t="s">
        <v>182</v>
      </c>
      <c r="D55" s="15" t="s">
        <v>183</v>
      </c>
      <c r="E55" s="10"/>
      <c r="F55" s="10"/>
      <c r="G55" s="10"/>
      <c r="H55" s="10"/>
      <c r="I55" s="10"/>
      <c r="J55" s="10"/>
      <c r="K55" s="10"/>
      <c r="L55" s="10"/>
    </row>
    <row r="56" spans="2:12" ht="15" customHeight="1" x14ac:dyDescent="0.3">
      <c r="B56" s="17" t="s">
        <v>179</v>
      </c>
      <c r="C56" s="14" t="s">
        <v>184</v>
      </c>
      <c r="D56" s="15" t="s">
        <v>185</v>
      </c>
      <c r="E56" s="10"/>
      <c r="F56" s="10"/>
      <c r="G56" s="10"/>
      <c r="H56" s="10"/>
      <c r="I56" s="10"/>
      <c r="J56" s="10"/>
      <c r="K56" s="10"/>
      <c r="L56" s="10"/>
    </row>
    <row r="57" spans="2:12" ht="15" customHeight="1" x14ac:dyDescent="0.3">
      <c r="B57" s="18" t="s">
        <v>179</v>
      </c>
      <c r="C57" s="14" t="s">
        <v>186</v>
      </c>
      <c r="D57" s="15" t="s">
        <v>187</v>
      </c>
      <c r="E57" s="10"/>
      <c r="F57" s="10"/>
      <c r="G57" s="10"/>
      <c r="H57" s="10"/>
      <c r="I57" s="10"/>
      <c r="J57" s="10"/>
      <c r="K57" s="10"/>
      <c r="L57" s="10"/>
    </row>
    <row r="58" spans="2:12" ht="14.25" customHeight="1" x14ac:dyDescent="0.3">
      <c r="B58" s="19" t="s">
        <v>179</v>
      </c>
      <c r="C58" s="14" t="s">
        <v>188</v>
      </c>
      <c r="D58" s="15" t="s">
        <v>189</v>
      </c>
      <c r="E58" s="10"/>
      <c r="F58" s="10"/>
      <c r="G58" s="10"/>
      <c r="H58" s="10"/>
      <c r="I58" s="10"/>
      <c r="J58" s="10"/>
      <c r="K58" s="10"/>
      <c r="L58" s="10"/>
    </row>
    <row r="59" spans="2:12" ht="15" customHeight="1" x14ac:dyDescent="0.3">
      <c r="B59" s="20" t="s">
        <v>179</v>
      </c>
      <c r="C59" s="14" t="s">
        <v>190</v>
      </c>
      <c r="D59" s="15" t="s">
        <v>191</v>
      </c>
      <c r="E59" s="10"/>
      <c r="F59" s="10"/>
      <c r="G59" s="10"/>
      <c r="H59" s="10"/>
      <c r="I59" s="10"/>
      <c r="J59" s="10"/>
      <c r="K59" s="10"/>
      <c r="L59" s="10"/>
    </row>
    <row r="60" spans="2:12" ht="15" customHeight="1" x14ac:dyDescent="0.3">
      <c r="B60" s="21" t="s">
        <v>179</v>
      </c>
      <c r="C60" s="14" t="s">
        <v>192</v>
      </c>
      <c r="D60" s="15" t="s">
        <v>193</v>
      </c>
      <c r="E60" s="10"/>
      <c r="F60" s="10"/>
      <c r="G60" s="10"/>
      <c r="H60" s="10"/>
      <c r="I60" s="10"/>
      <c r="J60" s="10"/>
      <c r="K60" s="10"/>
      <c r="L60" s="10"/>
    </row>
    <row r="61" spans="2:12" ht="15" customHeight="1" x14ac:dyDescent="0.3">
      <c r="B61" s="22" t="s">
        <v>179</v>
      </c>
      <c r="C61" s="14" t="s">
        <v>194</v>
      </c>
      <c r="D61" s="15" t="s">
        <v>195</v>
      </c>
      <c r="E61" s="10"/>
      <c r="F61" s="10"/>
      <c r="G61" s="10"/>
      <c r="H61" s="10"/>
      <c r="I61" s="10"/>
      <c r="J61" s="10"/>
      <c r="K61" s="10"/>
      <c r="L61" s="10"/>
    </row>
    <row r="62" spans="2:12" ht="15" customHeight="1" x14ac:dyDescent="0.3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2:12" ht="14.25" customHeight="1" x14ac:dyDescent="0.3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2:12" ht="17.25" customHeight="1" x14ac:dyDescent="0.3">
      <c r="B64" s="23" t="s">
        <v>196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</row>
    <row r="65" spans="2:12" ht="14.25" customHeight="1" x14ac:dyDescent="0.3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2:12" ht="15" customHeight="1" x14ac:dyDescent="0.3">
      <c r="B66" s="25" t="s">
        <v>179</v>
      </c>
      <c r="C66" s="14" t="s">
        <v>197</v>
      </c>
      <c r="D66" s="15" t="s">
        <v>198</v>
      </c>
      <c r="E66" s="10"/>
      <c r="F66" s="10"/>
      <c r="G66" s="10"/>
      <c r="H66" s="10"/>
      <c r="I66" s="10"/>
      <c r="J66" s="10"/>
      <c r="K66" s="10"/>
      <c r="L66" s="10"/>
    </row>
    <row r="67" spans="2:12" ht="15" customHeight="1" x14ac:dyDescent="0.3">
      <c r="B67" s="26" t="s">
        <v>179</v>
      </c>
      <c r="C67" s="14" t="s">
        <v>199</v>
      </c>
      <c r="D67" s="15" t="s">
        <v>200</v>
      </c>
      <c r="E67" s="10"/>
      <c r="F67" s="10"/>
      <c r="G67" s="10"/>
      <c r="H67" s="10"/>
      <c r="I67" s="10"/>
      <c r="J67" s="10"/>
      <c r="K67" s="10"/>
      <c r="L67" s="10"/>
    </row>
    <row r="68" spans="2:12" ht="15" customHeight="1" x14ac:dyDescent="0.3">
      <c r="B68" s="27" t="s">
        <v>179</v>
      </c>
      <c r="C68" s="14" t="s">
        <v>201</v>
      </c>
      <c r="D68" s="15" t="s">
        <v>202</v>
      </c>
      <c r="E68" s="10"/>
      <c r="F68" s="10"/>
      <c r="G68" s="10"/>
      <c r="H68" s="10"/>
      <c r="I68" s="10"/>
      <c r="J68" s="10"/>
      <c r="K68" s="10"/>
      <c r="L68" s="10"/>
    </row>
    <row r="69" spans="2:12" ht="15" customHeight="1" x14ac:dyDescent="0.3">
      <c r="B69" s="28" t="s">
        <v>179</v>
      </c>
      <c r="C69" s="14" t="s">
        <v>203</v>
      </c>
      <c r="D69" s="15" t="s">
        <v>204</v>
      </c>
      <c r="E69" s="10"/>
      <c r="F69" s="10"/>
      <c r="G69" s="10"/>
      <c r="H69" s="10"/>
      <c r="I69" s="10"/>
      <c r="J69" s="10"/>
      <c r="K69" s="10"/>
      <c r="L69" s="10"/>
    </row>
    <row r="70" spans="2:12" ht="15" customHeight="1" x14ac:dyDescent="0.3">
      <c r="B70" s="29" t="s">
        <v>179</v>
      </c>
      <c r="C70" s="14" t="s">
        <v>205</v>
      </c>
      <c r="D70" s="15" t="s">
        <v>206</v>
      </c>
      <c r="E70" s="10"/>
      <c r="F70" s="10"/>
      <c r="G70" s="10"/>
      <c r="H70" s="10"/>
      <c r="I70" s="10"/>
      <c r="J70" s="10"/>
      <c r="K70" s="10"/>
      <c r="L70" s="10"/>
    </row>
    <row r="71" spans="2:12" ht="15" customHeight="1" x14ac:dyDescent="0.3">
      <c r="B71" s="30" t="s">
        <v>179</v>
      </c>
      <c r="C71" s="14" t="s">
        <v>207</v>
      </c>
      <c r="D71" s="15" t="s">
        <v>208</v>
      </c>
      <c r="E71" s="10"/>
      <c r="F71" s="10"/>
      <c r="G71" s="10"/>
      <c r="H71" s="10"/>
      <c r="I71" s="10"/>
      <c r="J71" s="10"/>
      <c r="K71" s="10"/>
      <c r="L71" s="10"/>
    </row>
    <row r="72" spans="2:12" ht="14.25" customHeight="1" x14ac:dyDescent="0.3">
      <c r="B72" s="31" t="s">
        <v>179</v>
      </c>
      <c r="C72" s="14" t="s">
        <v>209</v>
      </c>
      <c r="D72" s="15" t="s">
        <v>210</v>
      </c>
      <c r="E72" s="10"/>
      <c r="F72" s="10"/>
      <c r="G72" s="10"/>
      <c r="H72" s="10"/>
      <c r="I72" s="10"/>
      <c r="J72" s="10"/>
      <c r="K72" s="10"/>
      <c r="L72" s="10"/>
    </row>
    <row r="73" spans="2:12" ht="17.25" customHeight="1" x14ac:dyDescent="0.3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2:12" ht="15" customHeight="1" x14ac:dyDescent="0.3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2:12" ht="15" customHeight="1" x14ac:dyDescent="0.3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2:12" ht="15" customHeight="1" x14ac:dyDescent="0.3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2:12" ht="15" customHeight="1" x14ac:dyDescent="0.3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2:12" ht="15" customHeight="1" x14ac:dyDescent="0.3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2:12" ht="15" customHeight="1" x14ac:dyDescent="0.3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2:12" ht="15" customHeight="1" x14ac:dyDescent="0.3">
      <c r="B80" s="5" t="s">
        <v>211</v>
      </c>
    </row>
    <row r="81" spans="2:12" ht="15" customHeight="1" x14ac:dyDescent="0.3">
      <c r="B81" s="5" t="s">
        <v>212</v>
      </c>
    </row>
    <row r="82" spans="2:12" ht="15" customHeight="1" x14ac:dyDescent="0.3">
      <c r="B82" s="5" t="s">
        <v>213</v>
      </c>
    </row>
    <row r="83" spans="2:12" ht="27.75" customHeight="1" x14ac:dyDescent="0.3">
      <c r="B83" s="103" t="s">
        <v>214</v>
      </c>
      <c r="C83" s="103"/>
    </row>
    <row r="84" spans="2:12" ht="15" customHeight="1" x14ac:dyDescent="0.3">
      <c r="B84" s="104" t="s">
        <v>215</v>
      </c>
      <c r="C84" s="104"/>
      <c r="D84" s="104"/>
      <c r="E84" s="104"/>
      <c r="F84" s="104"/>
      <c r="G84" s="104"/>
      <c r="H84" s="104"/>
      <c r="I84" s="104"/>
      <c r="J84" s="104"/>
      <c r="K84" s="104"/>
      <c r="L84" s="104"/>
    </row>
    <row r="85" spans="2:12" ht="15" customHeight="1" x14ac:dyDescent="0.3">
      <c r="B85" s="105" t="s">
        <v>216</v>
      </c>
      <c r="C85" s="105"/>
      <c r="D85" s="105"/>
      <c r="E85" s="105"/>
      <c r="F85" s="105"/>
      <c r="G85" s="105"/>
      <c r="H85" s="105"/>
      <c r="I85" s="105"/>
      <c r="J85" s="105"/>
      <c r="K85" s="105"/>
      <c r="L85" s="105"/>
    </row>
    <row r="86" spans="2:12" ht="15" customHeight="1" x14ac:dyDescent="0.3">
      <c r="B86" s="105" t="s">
        <v>217</v>
      </c>
      <c r="C86" s="105"/>
      <c r="D86" s="105"/>
      <c r="E86" s="105"/>
      <c r="F86" s="105"/>
      <c r="G86" s="105"/>
      <c r="H86" s="105"/>
      <c r="I86" s="105"/>
      <c r="J86" s="105"/>
      <c r="K86" s="105"/>
      <c r="L86" s="105"/>
    </row>
    <row r="87" spans="2:12" ht="15" customHeight="1" x14ac:dyDescent="0.3">
      <c r="B87" s="105" t="s">
        <v>218</v>
      </c>
      <c r="C87" s="105"/>
      <c r="D87" s="105"/>
      <c r="E87" s="105"/>
      <c r="F87" s="105"/>
      <c r="G87" s="105"/>
      <c r="H87" s="105"/>
      <c r="I87" s="105"/>
      <c r="J87" s="105"/>
      <c r="K87" s="105"/>
      <c r="L87" s="105"/>
    </row>
    <row r="92" spans="2:12" ht="24.75" customHeight="1" x14ac:dyDescent="0.3">
      <c r="B92" s="102" t="s">
        <v>219</v>
      </c>
      <c r="C92" s="102"/>
      <c r="D92" s="102"/>
      <c r="E92" s="102"/>
      <c r="F92" s="102"/>
      <c r="G92" s="102"/>
      <c r="H92" s="102"/>
      <c r="I92" s="102"/>
      <c r="J92" s="102"/>
      <c r="K92" s="102"/>
    </row>
    <row r="93" spans="2:12" ht="45" customHeight="1" x14ac:dyDescent="0.3">
      <c r="B93" s="101" t="s">
        <v>220</v>
      </c>
      <c r="C93" s="101"/>
      <c r="D93" s="101"/>
      <c r="E93" s="101"/>
      <c r="F93" s="101"/>
      <c r="G93" s="101"/>
      <c r="H93" s="101"/>
      <c r="I93" s="101"/>
      <c r="J93" s="101"/>
      <c r="K93" s="101"/>
    </row>
    <row r="94" spans="2:12" ht="45" customHeight="1" x14ac:dyDescent="0.3">
      <c r="B94" s="101" t="s">
        <v>221</v>
      </c>
      <c r="C94" s="101"/>
      <c r="D94" s="101"/>
      <c r="E94" s="101"/>
      <c r="F94" s="101"/>
      <c r="G94" s="101"/>
      <c r="H94" s="101"/>
      <c r="I94" s="101"/>
      <c r="J94" s="101"/>
      <c r="K94" s="101"/>
    </row>
    <row r="95" spans="2:12" ht="45" customHeight="1" x14ac:dyDescent="0.3">
      <c r="B95" s="101" t="s">
        <v>222</v>
      </c>
      <c r="C95" s="101"/>
      <c r="D95" s="101"/>
      <c r="E95" s="101"/>
      <c r="F95" s="101"/>
      <c r="G95" s="101"/>
      <c r="H95" s="101"/>
      <c r="I95" s="101"/>
      <c r="J95" s="101"/>
      <c r="K95" s="101"/>
    </row>
    <row r="96" spans="2:12" ht="45" customHeight="1" x14ac:dyDescent="0.3">
      <c r="B96" s="101" t="s">
        <v>223</v>
      </c>
      <c r="C96" s="101"/>
      <c r="D96" s="101"/>
      <c r="E96" s="101"/>
      <c r="F96" s="101"/>
      <c r="G96" s="101"/>
      <c r="H96" s="101"/>
      <c r="I96" s="101"/>
      <c r="J96" s="101"/>
      <c r="K96" s="101"/>
    </row>
    <row r="97" spans="2:11" ht="45" customHeight="1" x14ac:dyDescent="0.3">
      <c r="B97" s="101" t="s">
        <v>224</v>
      </c>
      <c r="C97" s="101"/>
      <c r="D97" s="101"/>
      <c r="E97" s="101"/>
      <c r="F97" s="101"/>
      <c r="G97" s="101"/>
      <c r="H97" s="101"/>
      <c r="I97" s="101"/>
      <c r="J97" s="101"/>
      <c r="K97" s="101"/>
    </row>
  </sheetData>
  <sheetProtection algorithmName="SHA-512" hashValue="F+3gO8V/z2Momhisdy2TFawRzRIcUyOgc7VkiarM3muPMA/E1ixC70yUIjrFVQkGyfOUv7J1QHK18+y020IgdA==" saltValue="T3aFRKuxKwDNXENLtCDwXg==" spinCount="100000" sheet="1" objects="1" scenarios="1"/>
  <mergeCells count="16">
    <mergeCell ref="B2:L2"/>
    <mergeCell ref="B3:L3"/>
    <mergeCell ref="B5:L5"/>
    <mergeCell ref="B16:L16"/>
    <mergeCell ref="B38:L38"/>
    <mergeCell ref="B83:C83"/>
    <mergeCell ref="B84:L84"/>
    <mergeCell ref="B85:L85"/>
    <mergeCell ref="B86:L86"/>
    <mergeCell ref="B87:L87"/>
    <mergeCell ref="B97:K97"/>
    <mergeCell ref="B92:K92"/>
    <mergeCell ref="B93:K93"/>
    <mergeCell ref="B94:K94"/>
    <mergeCell ref="B95:K95"/>
    <mergeCell ref="B96:K9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9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41.21875" customWidth="1"/>
    <col min="3" max="3" width="3" customWidth="1"/>
    <col min="4" max="4" width="25" style="32" customWidth="1"/>
    <col min="5" max="6" width="5" customWidth="1"/>
    <col min="7" max="7" width="25" customWidth="1"/>
  </cols>
  <sheetData>
    <row r="2" spans="2:8" ht="21.75" customHeight="1" x14ac:dyDescent="0.4">
      <c r="B2" s="120" t="s">
        <v>225</v>
      </c>
      <c r="C2" s="120"/>
      <c r="D2" s="120"/>
      <c r="E2" s="120"/>
      <c r="F2" s="120"/>
      <c r="G2" s="120"/>
      <c r="H2" s="120"/>
    </row>
    <row r="3" spans="2:8" ht="15" customHeight="1" x14ac:dyDescent="0.3">
      <c r="B3" s="121" t="s">
        <v>226</v>
      </c>
      <c r="C3" s="121"/>
      <c r="D3" s="121"/>
      <c r="E3" s="121"/>
      <c r="F3" s="121"/>
      <c r="G3" s="121"/>
      <c r="H3" s="121"/>
    </row>
    <row r="4" spans="2:8" ht="14.25" customHeight="1" x14ac:dyDescent="0.3">
      <c r="B4" s="122" t="s">
        <v>227</v>
      </c>
      <c r="C4" s="122"/>
      <c r="D4" s="122"/>
      <c r="E4" s="122"/>
      <c r="F4" s="122"/>
      <c r="G4" s="122"/>
      <c r="H4" s="122"/>
    </row>
    <row r="5" spans="2:8" ht="15" customHeight="1" x14ac:dyDescent="0.3">
      <c r="B5" s="104" t="s">
        <v>228</v>
      </c>
      <c r="C5" s="104"/>
      <c r="D5" s="104"/>
      <c r="E5" s="104"/>
      <c r="F5" s="104"/>
      <c r="G5" s="104"/>
      <c r="H5" s="104"/>
    </row>
    <row r="6" spans="2:8" ht="15" customHeight="1" x14ac:dyDescent="0.3">
      <c r="B6" t="s">
        <v>11</v>
      </c>
      <c r="D6" s="115" t="str">
        <f>'0-Saisie'!D11</f>
        <v>Monsieur X</v>
      </c>
      <c r="E6" s="115"/>
      <c r="F6" s="115"/>
    </row>
    <row r="7" spans="2:8" ht="15" customHeight="1" x14ac:dyDescent="0.3">
      <c r="B7" t="s">
        <v>229</v>
      </c>
      <c r="D7" s="115" t="str">
        <f>'0-Saisie'!D12</f>
        <v>Cabinet X Expertise</v>
      </c>
      <c r="E7" s="115"/>
      <c r="F7" s="115"/>
    </row>
    <row r="8" spans="2:8" ht="15" customHeight="1" x14ac:dyDescent="0.3">
      <c r="B8" t="s">
        <v>230</v>
      </c>
      <c r="D8" s="33" t="str">
        <f>'0-Saisie'!D13</f>
        <v>Ile-de-France</v>
      </c>
    </row>
    <row r="10" spans="2:8" ht="15" customHeight="1" x14ac:dyDescent="0.3">
      <c r="B10" s="116" t="s">
        <v>231</v>
      </c>
      <c r="C10" s="116"/>
      <c r="D10" s="116"/>
      <c r="E10" s="116"/>
      <c r="F10" s="116"/>
      <c r="G10" s="116"/>
      <c r="H10" s="116"/>
    </row>
    <row r="11" spans="2:8" ht="15" customHeight="1" x14ac:dyDescent="0.3">
      <c r="B11" t="s">
        <v>232</v>
      </c>
      <c r="D11" s="33" t="str">
        <f>'0-Saisie'!D14</f>
        <v>Creation ex-nihilo</v>
      </c>
      <c r="G11" s="34" t="s">
        <v>233</v>
      </c>
    </row>
    <row r="12" spans="2:8" ht="15" customHeight="1" x14ac:dyDescent="0.3">
      <c r="B12" t="s">
        <v>22</v>
      </c>
      <c r="D12" s="33" t="str">
        <f>'0-Saisie'!D15</f>
        <v>SASU</v>
      </c>
    </row>
    <row r="13" spans="2:8" ht="15" customHeight="1" x14ac:dyDescent="0.3">
      <c r="B13" t="s">
        <v>234</v>
      </c>
      <c r="D13" s="33">
        <f>'0-Saisie'!D16</f>
        <v>10000</v>
      </c>
    </row>
    <row r="15" spans="2:8" ht="15" customHeight="1" x14ac:dyDescent="0.3">
      <c r="B15" s="117" t="s">
        <v>235</v>
      </c>
      <c r="C15" s="117"/>
      <c r="D15" s="117"/>
      <c r="E15" s="117"/>
      <c r="F15" s="117"/>
      <c r="G15" s="117"/>
      <c r="H15" s="117"/>
    </row>
    <row r="16" spans="2:8" ht="15" customHeight="1" x14ac:dyDescent="0.3">
      <c r="B16" t="s">
        <v>236</v>
      </c>
      <c r="D16" s="35">
        <f>'0-Saisie'!D17</f>
        <v>46023</v>
      </c>
    </row>
    <row r="17" spans="2:8" ht="15" customHeight="1" x14ac:dyDescent="0.3">
      <c r="B17" t="s">
        <v>237</v>
      </c>
      <c r="D17" s="35">
        <f>'0-Saisie'!D18</f>
        <v>45931</v>
      </c>
    </row>
    <row r="18" spans="2:8" ht="15" customHeight="1" x14ac:dyDescent="0.3">
      <c r="B18" t="s">
        <v>30</v>
      </c>
      <c r="D18" s="35">
        <f>'0-Saisie'!D19</f>
        <v>46054</v>
      </c>
    </row>
    <row r="20" spans="2:8" ht="15" customHeight="1" x14ac:dyDescent="0.3">
      <c r="B20" s="118" t="s">
        <v>238</v>
      </c>
      <c r="C20" s="118"/>
      <c r="D20" s="118"/>
      <c r="E20" s="118"/>
      <c r="F20" s="118"/>
      <c r="G20" s="118"/>
      <c r="H20" s="118"/>
    </row>
    <row r="21" spans="2:8" ht="15" customHeight="1" x14ac:dyDescent="0.3">
      <c r="B21" t="s">
        <v>239</v>
      </c>
      <c r="D21" s="33" t="str">
        <f>'0-Saisie'!D20</f>
        <v>Avance (100% numerique)</v>
      </c>
      <c r="G21" s="34" t="s">
        <v>240</v>
      </c>
    </row>
    <row r="22" spans="2:8" ht="15" customHeight="1" x14ac:dyDescent="0.3">
      <c r="B22" t="s">
        <v>241</v>
      </c>
      <c r="D22" s="33" t="str">
        <f>'0-Saisie'!D21</f>
        <v>Confirme</v>
      </c>
      <c r="G22" s="34" t="s">
        <v>242</v>
      </c>
    </row>
    <row r="23" spans="2:8" ht="15" customHeight="1" x14ac:dyDescent="0.3">
      <c r="B23" t="s">
        <v>37</v>
      </c>
      <c r="D23" s="33" t="str">
        <f>'0-Saisie'!D22</f>
        <v>Pennylane</v>
      </c>
    </row>
    <row r="25" spans="2:8" ht="15" customHeight="1" x14ac:dyDescent="0.3">
      <c r="B25" s="119" t="s">
        <v>243</v>
      </c>
      <c r="C25" s="119"/>
      <c r="D25" s="119"/>
      <c r="E25" s="119"/>
      <c r="F25" s="119"/>
      <c r="G25" s="119"/>
      <c r="H25" s="119"/>
    </row>
    <row r="26" spans="2:8" ht="15" customHeight="1" x14ac:dyDescent="0.3">
      <c r="B26" t="s">
        <v>244</v>
      </c>
      <c r="D26" s="33">
        <f>'0-Saisie'!D26</f>
        <v>1</v>
      </c>
      <c r="G26" s="34" t="s">
        <v>245</v>
      </c>
    </row>
    <row r="27" spans="2:8" ht="15" customHeight="1" x14ac:dyDescent="0.3">
      <c r="B27" t="s">
        <v>246</v>
      </c>
      <c r="D27" s="33">
        <f>'0-Saisie'!D27</f>
        <v>6</v>
      </c>
      <c r="G27" s="34" t="s">
        <v>247</v>
      </c>
    </row>
    <row r="28" spans="2:8" ht="15" customHeight="1" x14ac:dyDescent="0.3">
      <c r="B28" t="s">
        <v>248</v>
      </c>
      <c r="D28" s="33" t="str">
        <f>'0-Saisie'!D28</f>
        <v>Collaborateur junior</v>
      </c>
    </row>
    <row r="29" spans="2:8" ht="28.5" customHeight="1" x14ac:dyDescent="0.3">
      <c r="B29" s="36" t="s">
        <v>249</v>
      </c>
      <c r="C29" s="36"/>
      <c r="D29" s="33">
        <f>'0-Saisie'!D29</f>
        <v>800</v>
      </c>
      <c r="E29" s="36" t="s">
        <v>26</v>
      </c>
      <c r="F29" s="36"/>
      <c r="G29" s="36" t="s">
        <v>250</v>
      </c>
    </row>
    <row r="30" spans="2:8" ht="15" customHeight="1" x14ac:dyDescent="0.3">
      <c r="B30" s="114" t="s">
        <v>251</v>
      </c>
      <c r="C30" s="114"/>
      <c r="D30" s="114"/>
      <c r="E30" s="114"/>
      <c r="F30" s="114"/>
      <c r="G30" s="114"/>
      <c r="H30" s="114"/>
    </row>
    <row r="31" spans="2:8" ht="15" customHeight="1" x14ac:dyDescent="0.3">
      <c r="B31" t="s">
        <v>48</v>
      </c>
      <c r="D31" s="33">
        <f>'0-Saisie'!D30</f>
        <v>3</v>
      </c>
    </row>
    <row r="32" spans="2:8" ht="15" customHeight="1" x14ac:dyDescent="0.3">
      <c r="B32" t="s">
        <v>49</v>
      </c>
      <c r="D32" s="33">
        <f>'0-Saisie'!D31</f>
        <v>8</v>
      </c>
    </row>
    <row r="33" spans="2:8" ht="15" customHeight="1" x14ac:dyDescent="0.3">
      <c r="B33" t="s">
        <v>50</v>
      </c>
      <c r="D33" s="33">
        <f>'0-Saisie'!D32</f>
        <v>25</v>
      </c>
    </row>
    <row r="34" spans="2:8" ht="15" customHeight="1" x14ac:dyDescent="0.3">
      <c r="B34" t="s">
        <v>252</v>
      </c>
      <c r="D34" s="33">
        <f>'0-Saisie'!D33</f>
        <v>3000</v>
      </c>
    </row>
    <row r="35" spans="2:8" ht="15" customHeight="1" x14ac:dyDescent="0.3">
      <c r="B35" t="s">
        <v>253</v>
      </c>
      <c r="D35" s="33" t="str">
        <f>'0-Saisie'!D34</f>
        <v>Startups / TPE innovantes</v>
      </c>
    </row>
    <row r="37" spans="2:8" ht="15" customHeight="1" x14ac:dyDescent="0.3">
      <c r="B37" s="104" t="s">
        <v>254</v>
      </c>
      <c r="C37" s="104"/>
      <c r="D37" s="104"/>
      <c r="E37" s="104"/>
      <c r="F37" s="104"/>
      <c r="G37" s="104"/>
      <c r="H37" s="104"/>
    </row>
    <row r="38" spans="2:8" ht="15" customHeight="1" x14ac:dyDescent="0.3">
      <c r="B38" t="s">
        <v>56</v>
      </c>
      <c r="D38" s="33">
        <f>'0-Saisie'!D38</f>
        <v>10000</v>
      </c>
    </row>
    <row r="39" spans="2:8" ht="15" customHeight="1" x14ac:dyDescent="0.3">
      <c r="B39" t="s">
        <v>255</v>
      </c>
      <c r="D39" s="33">
        <f>'0-Saisie'!D39</f>
        <v>20000</v>
      </c>
    </row>
    <row r="40" spans="2:8" ht="15" customHeight="1" x14ac:dyDescent="0.3">
      <c r="B40" t="s">
        <v>58</v>
      </c>
      <c r="D40" s="33">
        <f>'0-Saisie'!D40</f>
        <v>2500</v>
      </c>
      <c r="G40" s="34" t="s">
        <v>256</v>
      </c>
    </row>
    <row r="41" spans="2:8" ht="15" customHeight="1" x14ac:dyDescent="0.3">
      <c r="B41" t="s">
        <v>257</v>
      </c>
      <c r="D41" s="33">
        <f>'0-Saisie'!D41</f>
        <v>6</v>
      </c>
      <c r="G41" s="34" t="s">
        <v>258</v>
      </c>
    </row>
    <row r="42" spans="2:8" ht="14.25" customHeight="1" x14ac:dyDescent="0.3">
      <c r="B42" t="s">
        <v>259</v>
      </c>
      <c r="D42" s="37">
        <f>ROUND(26548*1.45,0)</f>
        <v>38495</v>
      </c>
      <c r="E42" t="s">
        <v>26</v>
      </c>
      <c r="F42" t="s">
        <v>260</v>
      </c>
      <c r="G42" t="s">
        <v>261</v>
      </c>
      <c r="H42" s="38" t="s">
        <v>262</v>
      </c>
    </row>
    <row r="43" spans="2:8" ht="15" customHeight="1" x14ac:dyDescent="0.3">
      <c r="B43" s="114" t="s">
        <v>263</v>
      </c>
      <c r="C43" s="114"/>
      <c r="D43" s="114"/>
      <c r="E43" s="114"/>
      <c r="F43" s="114"/>
      <c r="G43" s="114"/>
      <c r="H43" s="114"/>
    </row>
    <row r="44" spans="2:8" ht="15" customHeight="1" x14ac:dyDescent="0.3">
      <c r="B44" t="s">
        <v>264</v>
      </c>
      <c r="D44" s="39">
        <f>IF(D11="Creation ex-nihilo",1,IF(D11="Reprise cabinet",0.7,0.85))</f>
        <v>1</v>
      </c>
      <c r="G44" s="34" t="s">
        <v>265</v>
      </c>
    </row>
    <row r="45" spans="2:8" ht="15" customHeight="1" x14ac:dyDescent="0.3">
      <c r="B45" t="s">
        <v>266</v>
      </c>
      <c r="D45" s="39">
        <f>IF(D22="Debutant",1.3,IF(D22="Intermediaire",1.15,IF(D22="Confirme",1,0.9)))</f>
        <v>1</v>
      </c>
      <c r="G45" s="34" t="s">
        <v>267</v>
      </c>
    </row>
    <row r="46" spans="2:8" ht="15" customHeight="1" x14ac:dyDescent="0.3">
      <c r="B46" t="s">
        <v>268</v>
      </c>
      <c r="D46" s="39">
        <f>IF(D21="Basique",0.7,IF(D21="Intermediaire",1,1.3))</f>
        <v>1.3</v>
      </c>
      <c r="G46" s="34" t="s">
        <v>269</v>
      </c>
    </row>
    <row r="47" spans="2:8" ht="15" customHeight="1" x14ac:dyDescent="0.3">
      <c r="B47" t="s">
        <v>270</v>
      </c>
      <c r="D47" s="40" t="str">
        <f>IF(D26=0,"NON","OUI")</f>
        <v>OUI</v>
      </c>
    </row>
    <row r="48" spans="2:8" ht="15" customHeight="1" x14ac:dyDescent="0.3">
      <c r="B48" t="s">
        <v>271</v>
      </c>
      <c r="D48" s="40">
        <f>D38+D39</f>
        <v>30000</v>
      </c>
    </row>
    <row r="49" spans="2:8" ht="15" customHeight="1" x14ac:dyDescent="0.3">
      <c r="B49" t="s">
        <v>272</v>
      </c>
      <c r="D49" s="40">
        <f>D40*D41</f>
        <v>15000</v>
      </c>
    </row>
    <row r="50" spans="2:8" ht="15" customHeight="1" x14ac:dyDescent="0.3">
      <c r="B50" t="s">
        <v>273</v>
      </c>
      <c r="D50" s="40">
        <f>D33*D34</f>
        <v>75000</v>
      </c>
    </row>
    <row r="51" spans="2:8" ht="17.25" customHeight="1" x14ac:dyDescent="0.3">
      <c r="B51" t="s">
        <v>274</v>
      </c>
      <c r="D51" s="40">
        <f>ROUND(18*D44*D45,0)</f>
        <v>18</v>
      </c>
    </row>
    <row r="53" spans="2:8" ht="14.25" customHeight="1" x14ac:dyDescent="0.3">
      <c r="B53" s="96" t="s">
        <v>275</v>
      </c>
      <c r="C53" s="96"/>
      <c r="D53" s="96"/>
      <c r="E53" s="96"/>
      <c r="F53" s="96"/>
      <c r="G53" s="96"/>
      <c r="H53" s="96"/>
    </row>
    <row r="54" spans="2:8" ht="14.25" customHeight="1" x14ac:dyDescent="0.3">
      <c r="B54" s="93" t="s">
        <v>276</v>
      </c>
      <c r="C54" s="93"/>
      <c r="D54" s="93" t="s">
        <v>277</v>
      </c>
      <c r="E54" s="93"/>
      <c r="F54" s="93" t="s">
        <v>278</v>
      </c>
      <c r="G54" s="93"/>
      <c r="H54" s="93"/>
    </row>
    <row r="55" spans="2:8" ht="14.25" customHeight="1" x14ac:dyDescent="0.3">
      <c r="B55" s="112" t="s">
        <v>279</v>
      </c>
      <c r="C55" s="112"/>
      <c r="D55" s="113">
        <v>21567</v>
      </c>
      <c r="E55" s="113"/>
      <c r="F55" s="113">
        <f>ROUND(D55*1.45,0)</f>
        <v>31272</v>
      </c>
      <c r="G55" s="113"/>
      <c r="H55" s="113"/>
    </row>
    <row r="56" spans="2:8" ht="14.25" customHeight="1" x14ac:dyDescent="0.3">
      <c r="B56" s="112" t="s">
        <v>280</v>
      </c>
      <c r="C56" s="112"/>
      <c r="D56" s="113">
        <v>26548</v>
      </c>
      <c r="E56" s="113"/>
      <c r="F56" s="113">
        <f>ROUND(D56*1.45,0)</f>
        <v>38495</v>
      </c>
      <c r="G56" s="113"/>
      <c r="H56" s="113"/>
    </row>
    <row r="57" spans="2:8" ht="14.25" customHeight="1" x14ac:dyDescent="0.3">
      <c r="B57" s="112" t="s">
        <v>281</v>
      </c>
      <c r="C57" s="112"/>
      <c r="D57" s="113">
        <v>38221</v>
      </c>
      <c r="E57" s="113"/>
      <c r="F57" s="113">
        <f>ROUND(D57*1.45,0)</f>
        <v>55420</v>
      </c>
      <c r="G57" s="113"/>
      <c r="H57" s="113"/>
    </row>
    <row r="58" spans="2:8" ht="14.25" customHeight="1" x14ac:dyDescent="0.3">
      <c r="B58" s="112" t="s">
        <v>282</v>
      </c>
      <c r="C58" s="112"/>
      <c r="D58" s="113">
        <v>47801</v>
      </c>
      <c r="E58" s="113"/>
      <c r="F58" s="113">
        <f>ROUND(D58*1.45,0)</f>
        <v>69311</v>
      </c>
      <c r="G58" s="113"/>
      <c r="H58" s="113"/>
    </row>
    <row r="59" spans="2:8" ht="14.25" customHeight="1" x14ac:dyDescent="0.3">
      <c r="B59" s="111" t="s">
        <v>283</v>
      </c>
      <c r="C59" s="111"/>
      <c r="D59" s="111"/>
      <c r="E59" s="111"/>
      <c r="F59" s="111"/>
      <c r="G59" s="111"/>
      <c r="H59" s="111"/>
    </row>
  </sheetData>
  <sheetProtection algorithmName="SHA-512" hashValue="/BXxQW29qrx7z7Soj5pkieu8vnGnpx8ga0u1uqbyWPcPigelIvWZCYHeYQpbMBmROS0FICiFTRvubruiFx2qQQ==" saltValue="d5BK8DVf0RPilnc+uQGVGQ==" spinCount="100000" sheet="1" objects="1" scenarios="1"/>
  <mergeCells count="30">
    <mergeCell ref="B2:H2"/>
    <mergeCell ref="B3:H3"/>
    <mergeCell ref="B4:H4"/>
    <mergeCell ref="B5:H5"/>
    <mergeCell ref="D6:F6"/>
    <mergeCell ref="D7:F7"/>
    <mergeCell ref="B10:H10"/>
    <mergeCell ref="B15:H15"/>
    <mergeCell ref="B20:H20"/>
    <mergeCell ref="B25:H25"/>
    <mergeCell ref="B30:H30"/>
    <mergeCell ref="B37:H37"/>
    <mergeCell ref="B43:H43"/>
    <mergeCell ref="B53:H53"/>
    <mergeCell ref="B54:C54"/>
    <mergeCell ref="D54:E54"/>
    <mergeCell ref="F54:H54"/>
    <mergeCell ref="B55:C55"/>
    <mergeCell ref="D55:E55"/>
    <mergeCell ref="F55:H55"/>
    <mergeCell ref="B56:C56"/>
    <mergeCell ref="D56:E56"/>
    <mergeCell ref="F56:H56"/>
    <mergeCell ref="B59:H59"/>
    <mergeCell ref="B57:C57"/>
    <mergeCell ref="D57:E57"/>
    <mergeCell ref="F57:H57"/>
    <mergeCell ref="B58:C58"/>
    <mergeCell ref="D58:E58"/>
    <mergeCell ref="F58:H58"/>
  </mergeCells>
  <dataValidations count="9">
    <dataValidation type="list" sqref="D8" xr:uid="{00000000-0002-0000-0200-000000000000}">
      <formula1>"Ile-de-France,Auvergne-Rhone-Alpes,PACA,Occitanie,Hauts-de-France,Grand Est,Autres"</formula1>
      <formula2>0</formula2>
    </dataValidation>
    <dataValidation type="list" sqref="D11" xr:uid="{00000000-0002-0000-0200-000001000000}">
      <formula1>"Creation ex-nihilo,Reprise cabinet,Association confrere"</formula1>
      <formula2>0</formula2>
    </dataValidation>
    <dataValidation type="list" sqref="D12" xr:uid="{00000000-0002-0000-0200-000002000000}">
      <formula1>"SASU,SAS,EURL,SARL,SELARL"</formula1>
      <formula2>0</formula2>
    </dataValidation>
    <dataValidation type="list" sqref="D21" xr:uid="{00000000-0002-0000-0200-000003000000}">
      <formula1>"Basique,Intermediaire,Avance (100% numerique)"</formula1>
      <formula2>0</formula2>
    </dataValidation>
    <dataValidation type="list" sqref="D22" xr:uid="{00000000-0002-0000-0200-000004000000}">
      <formula1>"Debutant,Intermediaire,Confirme,Expert"</formula1>
      <formula2>0</formula2>
    </dataValidation>
    <dataValidation type="list" sqref="D23" xr:uid="{00000000-0002-0000-0200-000005000000}">
      <formula1>"Pennylane,Dext + Sage,Tiime,MyUnisoft,Cegid Loop,Autres"</formula1>
      <formula2>0</formula2>
    </dataValidation>
    <dataValidation type="list" sqref="D26" xr:uid="{00000000-0002-0000-0200-000006000000}">
      <formula1>"0,1,2,3"</formula1>
      <formula2>0</formula2>
    </dataValidation>
    <dataValidation type="list" sqref="D28" xr:uid="{00000000-0002-0000-0200-000007000000}">
      <formula1>"Collaborateur junior,Collaborateur confirme,Assistant administratif,Alternant"</formula1>
      <formula2>0</formula2>
    </dataValidation>
    <dataValidation type="list" sqref="D35" xr:uid="{00000000-0002-0000-0200-000008000000}">
      <formula1>"Generaliste,Startups / TPE innovantes,Professions liberales,Commercants / Artisans,Associations"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6"/>
  <sheetViews>
    <sheetView showGridLines="0" zoomScaleNormal="100" workbookViewId="0">
      <selection sqref="A1:K1"/>
    </sheetView>
  </sheetViews>
  <sheetFormatPr baseColWidth="10" defaultColWidth="8.6640625" defaultRowHeight="14.4" x14ac:dyDescent="0.3"/>
  <cols>
    <col min="1" max="1" width="20" customWidth="1"/>
    <col min="2" max="11" width="12" customWidth="1"/>
  </cols>
  <sheetData>
    <row r="1" spans="1:11" ht="19.5" customHeight="1" x14ac:dyDescent="0.35">
      <c r="A1" s="133" t="s">
        <v>284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1" ht="15" customHeight="1" x14ac:dyDescent="0.3">
      <c r="A2" s="134" t="s">
        <v>285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</row>
    <row r="4" spans="1:11" ht="17.25" customHeight="1" x14ac:dyDescent="0.3">
      <c r="A4" s="135" t="s">
        <v>286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</row>
    <row r="5" spans="1:11" ht="15" customHeight="1" x14ac:dyDescent="0.3">
      <c r="A5" s="41" t="s">
        <v>67</v>
      </c>
      <c r="B5" s="129" t="str">
        <f>IF(COUNTIF('0-Saisie'!E46:E50,"Terminé")=5,"✅ GO","⏳ EN COURS")</f>
        <v>✅ GO</v>
      </c>
      <c r="C5" s="129"/>
      <c r="D5" s="129"/>
      <c r="E5" s="129"/>
      <c r="F5" s="129"/>
      <c r="G5" s="129"/>
      <c r="H5" s="129"/>
      <c r="I5" s="129"/>
      <c r="J5" s="129"/>
      <c r="K5" s="129"/>
    </row>
    <row r="6" spans="1:11" ht="15" customHeight="1" x14ac:dyDescent="0.3">
      <c r="A6" s="41" t="s">
        <v>287</v>
      </c>
      <c r="B6" s="126" t="s">
        <v>288</v>
      </c>
      <c r="C6" s="126"/>
      <c r="D6" s="126"/>
      <c r="E6" s="126"/>
      <c r="F6" s="126"/>
      <c r="G6" s="126"/>
      <c r="H6" s="126"/>
      <c r="I6" s="126"/>
      <c r="J6" s="126"/>
      <c r="K6" s="126"/>
    </row>
    <row r="7" spans="1:11" ht="15" customHeight="1" x14ac:dyDescent="0.3">
      <c r="A7" s="41" t="s">
        <v>289</v>
      </c>
      <c r="B7" s="126" t="s">
        <v>290</v>
      </c>
      <c r="C7" s="126"/>
      <c r="D7" s="126"/>
      <c r="E7" s="126"/>
      <c r="F7" s="126"/>
      <c r="G7" s="126"/>
      <c r="H7" s="126"/>
      <c r="I7" s="126"/>
      <c r="J7" s="126"/>
      <c r="K7" s="126"/>
    </row>
    <row r="8" spans="1:11" ht="15" customHeight="1" x14ac:dyDescent="0.3">
      <c r="A8" s="41" t="s">
        <v>291</v>
      </c>
      <c r="B8" s="127" t="str">
        <f>'2-Mon Projet'!D49&amp;" € ("&amp;'2-Mon Projet'!D41&amp;" mois de charges)"</f>
        <v>15000 € (6 mois de charges)</v>
      </c>
      <c r="C8" s="127"/>
      <c r="D8" s="127"/>
      <c r="E8" s="127"/>
      <c r="F8" s="127"/>
      <c r="G8" s="127"/>
      <c r="H8" s="127"/>
      <c r="I8" s="127"/>
      <c r="J8" s="127"/>
      <c r="K8" s="127"/>
    </row>
    <row r="9" spans="1:11" ht="15" customHeight="1" x14ac:dyDescent="0.3">
      <c r="A9" s="41" t="s">
        <v>292</v>
      </c>
      <c r="B9" s="126" t="s">
        <v>293</v>
      </c>
      <c r="C9" s="126"/>
      <c r="D9" s="126"/>
      <c r="E9" s="126"/>
      <c r="F9" s="126"/>
      <c r="G9" s="126"/>
      <c r="H9" s="126"/>
      <c r="I9" s="126"/>
      <c r="J9" s="126"/>
      <c r="K9" s="126"/>
    </row>
    <row r="10" spans="1:11" ht="15" customHeight="1" x14ac:dyDescent="0.3">
      <c r="A10" s="41" t="s">
        <v>294</v>
      </c>
      <c r="B10" s="131" t="s">
        <v>295</v>
      </c>
      <c r="C10" s="131"/>
      <c r="D10" s="131"/>
      <c r="E10" s="131"/>
      <c r="F10" s="131"/>
      <c r="G10" s="131"/>
      <c r="H10" s="131"/>
      <c r="I10" s="131"/>
      <c r="J10" s="131"/>
      <c r="K10" s="131"/>
    </row>
    <row r="11" spans="1:11" ht="15" customHeight="1" x14ac:dyDescent="0.3">
      <c r="A11" s="41" t="s">
        <v>296</v>
      </c>
      <c r="B11" s="126" t="s">
        <v>297</v>
      </c>
      <c r="C11" s="126"/>
      <c r="D11" s="126"/>
      <c r="E11" s="126"/>
      <c r="F11" s="126"/>
      <c r="G11" s="126"/>
      <c r="H11" s="126"/>
      <c r="I11" s="126"/>
      <c r="J11" s="126"/>
      <c r="K11" s="126"/>
    </row>
    <row r="12" spans="1:11" ht="15" customHeight="1" x14ac:dyDescent="0.3">
      <c r="A12" s="41" t="s">
        <v>298</v>
      </c>
      <c r="B12" s="126" t="s">
        <v>299</v>
      </c>
      <c r="C12" s="126"/>
      <c r="D12" s="126"/>
      <c r="E12" s="126"/>
      <c r="F12" s="126"/>
      <c r="G12" s="126"/>
      <c r="H12" s="126"/>
      <c r="I12" s="126"/>
      <c r="J12" s="126"/>
      <c r="K12" s="126"/>
    </row>
    <row r="13" spans="1:11" ht="15" customHeight="1" x14ac:dyDescent="0.3">
      <c r="A13" s="41" t="s">
        <v>300</v>
      </c>
      <c r="B13" s="126" t="s">
        <v>301</v>
      </c>
      <c r="C13" s="126"/>
      <c r="D13" s="126"/>
      <c r="E13" s="126"/>
      <c r="F13" s="126"/>
      <c r="G13" s="126"/>
      <c r="H13" s="126"/>
      <c r="I13" s="126"/>
      <c r="J13" s="126"/>
      <c r="K13" s="126"/>
    </row>
    <row r="14" spans="1:11" ht="15" customHeight="1" x14ac:dyDescent="0.3">
      <c r="A14" s="41" t="s">
        <v>302</v>
      </c>
      <c r="B14" s="123" t="s">
        <v>303</v>
      </c>
      <c r="C14" s="123"/>
      <c r="D14" s="123"/>
      <c r="E14" s="123"/>
      <c r="F14" s="123"/>
      <c r="G14" s="123"/>
      <c r="H14" s="123"/>
      <c r="I14" s="123"/>
      <c r="J14" s="123"/>
      <c r="K14" s="123"/>
    </row>
    <row r="16" spans="1:11" ht="17.25" customHeight="1" x14ac:dyDescent="0.3">
      <c r="A16" s="132" t="s">
        <v>304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</row>
    <row r="17" spans="1:11" ht="15" customHeight="1" x14ac:dyDescent="0.3">
      <c r="A17" s="41" t="s">
        <v>67</v>
      </c>
      <c r="B17" s="129" t="str">
        <f>IF(AND('0-Saisie'!E54="Terminé",'0-Saisie'!E56="Terminé",'0-Saisie'!E57="Terminé",'0-Saisie'!E58="Terminé",'0-Saisie'!E60="Terminé"),"✅ GO","⏳ EN COURS")</f>
        <v>✅ GO</v>
      </c>
      <c r="C17" s="129"/>
      <c r="D17" s="129"/>
      <c r="E17" s="129"/>
      <c r="F17" s="129"/>
      <c r="G17" s="129"/>
      <c r="H17" s="129"/>
      <c r="I17" s="129"/>
      <c r="J17" s="129"/>
      <c r="K17" s="129"/>
    </row>
    <row r="18" spans="1:11" ht="15" customHeight="1" x14ac:dyDescent="0.3">
      <c r="A18" s="41" t="s">
        <v>287</v>
      </c>
      <c r="B18" s="127" t="str">
        <f>'2-Mon Projet'!D31&amp;" premiers clients + process onboarding stabilisé"</f>
        <v>3 premiers clients + process onboarding stabilisé</v>
      </c>
      <c r="C18" s="127"/>
      <c r="D18" s="127"/>
      <c r="E18" s="127"/>
      <c r="F18" s="127"/>
      <c r="G18" s="127"/>
      <c r="H18" s="127"/>
      <c r="I18" s="127"/>
      <c r="J18" s="127"/>
      <c r="K18" s="127"/>
    </row>
    <row r="19" spans="1:11" ht="15" customHeight="1" x14ac:dyDescent="0.3">
      <c r="A19" s="41" t="s">
        <v>305</v>
      </c>
      <c r="B19" s="126" t="s">
        <v>306</v>
      </c>
      <c r="C19" s="126"/>
      <c r="D19" s="126"/>
      <c r="E19" s="126"/>
      <c r="F19" s="126"/>
      <c r="G19" s="126"/>
      <c r="H19" s="126"/>
      <c r="I19" s="126"/>
      <c r="J19" s="126"/>
      <c r="K19" s="126"/>
    </row>
    <row r="20" spans="1:11" ht="15" customHeight="1" x14ac:dyDescent="0.3">
      <c r="A20" s="41" t="s">
        <v>291</v>
      </c>
      <c r="B20" s="126" t="s">
        <v>307</v>
      </c>
      <c r="C20" s="126"/>
      <c r="D20" s="126"/>
      <c r="E20" s="126"/>
      <c r="F20" s="126"/>
      <c r="G20" s="126"/>
      <c r="H20" s="126"/>
      <c r="I20" s="126"/>
      <c r="J20" s="126"/>
      <c r="K20" s="126"/>
    </row>
    <row r="21" spans="1:11" ht="15" customHeight="1" x14ac:dyDescent="0.3">
      <c r="A21" s="41" t="s">
        <v>292</v>
      </c>
      <c r="B21" s="126" t="s">
        <v>308</v>
      </c>
      <c r="C21" s="126"/>
      <c r="D21" s="126"/>
      <c r="E21" s="126"/>
      <c r="F21" s="126"/>
      <c r="G21" s="126"/>
      <c r="H21" s="126"/>
      <c r="I21" s="126"/>
      <c r="J21" s="126"/>
      <c r="K21" s="126"/>
    </row>
    <row r="22" spans="1:11" ht="15" customHeight="1" x14ac:dyDescent="0.3">
      <c r="A22" s="41" t="s">
        <v>294</v>
      </c>
      <c r="B22" s="131" t="s">
        <v>309</v>
      </c>
      <c r="C22" s="131"/>
      <c r="D22" s="131"/>
      <c r="E22" s="131"/>
      <c r="F22" s="131"/>
      <c r="G22" s="131"/>
      <c r="H22" s="131"/>
      <c r="I22" s="131"/>
      <c r="J22" s="131"/>
      <c r="K22" s="131"/>
    </row>
    <row r="23" spans="1:11" ht="15" customHeight="1" x14ac:dyDescent="0.3">
      <c r="A23" s="41" t="s">
        <v>296</v>
      </c>
      <c r="B23" s="126" t="s">
        <v>310</v>
      </c>
      <c r="C23" s="126"/>
      <c r="D23" s="126"/>
      <c r="E23" s="126"/>
      <c r="F23" s="126"/>
      <c r="G23" s="126"/>
      <c r="H23" s="126"/>
      <c r="I23" s="126"/>
      <c r="J23" s="126"/>
      <c r="K23" s="126"/>
    </row>
    <row r="24" spans="1:11" ht="15" customHeight="1" x14ac:dyDescent="0.3">
      <c r="A24" s="41" t="s">
        <v>298</v>
      </c>
      <c r="B24" s="126" t="s">
        <v>311</v>
      </c>
      <c r="C24" s="126"/>
      <c r="D24" s="126"/>
      <c r="E24" s="126"/>
      <c r="F24" s="126"/>
      <c r="G24" s="126"/>
      <c r="H24" s="126"/>
      <c r="I24" s="126"/>
      <c r="J24" s="126"/>
      <c r="K24" s="126"/>
    </row>
    <row r="25" spans="1:11" ht="15" customHeight="1" x14ac:dyDescent="0.3">
      <c r="A25" s="41" t="s">
        <v>300</v>
      </c>
      <c r="B25" s="126" t="s">
        <v>312</v>
      </c>
      <c r="C25" s="126"/>
      <c r="D25" s="126"/>
      <c r="E25" s="126"/>
      <c r="F25" s="126"/>
      <c r="G25" s="126"/>
      <c r="H25" s="126"/>
      <c r="I25" s="126"/>
      <c r="J25" s="126"/>
      <c r="K25" s="126"/>
    </row>
    <row r="26" spans="1:11" ht="15" customHeight="1" x14ac:dyDescent="0.3">
      <c r="A26" s="41" t="s">
        <v>313</v>
      </c>
      <c r="B26" s="123" t="s">
        <v>314</v>
      </c>
      <c r="C26" s="123"/>
      <c r="D26" s="123"/>
      <c r="E26" s="123"/>
      <c r="F26" s="123"/>
      <c r="G26" s="123"/>
      <c r="H26" s="123"/>
      <c r="I26" s="123"/>
      <c r="J26" s="123"/>
      <c r="K26" s="123"/>
    </row>
    <row r="28" spans="1:11" ht="17.25" customHeight="1" x14ac:dyDescent="0.3">
      <c r="A28" s="130" t="s">
        <v>315</v>
      </c>
      <c r="B28" s="130"/>
      <c r="C28" s="130"/>
      <c r="D28" s="130"/>
      <c r="E28" s="130"/>
      <c r="F28" s="130"/>
      <c r="G28" s="130"/>
      <c r="H28" s="130"/>
      <c r="I28" s="130"/>
      <c r="J28" s="130"/>
      <c r="K28" s="130"/>
    </row>
    <row r="29" spans="1:11" ht="15" customHeight="1" x14ac:dyDescent="0.3">
      <c r="A29" s="41" t="s">
        <v>67</v>
      </c>
      <c r="B29" s="129" t="str">
        <f>IF(AND('0-Saisie'!E62="Terminé",'0-Saisie'!E63="Terminé",'0-Saisie'!E64="Terminé",'0-Saisie'!E65="Terminé"),"✅ GO","⏳ EN COURS")</f>
        <v>✅ GO</v>
      </c>
      <c r="C29" s="129"/>
      <c r="D29" s="129"/>
      <c r="E29" s="129"/>
      <c r="F29" s="129"/>
      <c r="G29" s="129"/>
      <c r="H29" s="129"/>
      <c r="I29" s="129"/>
      <c r="J29" s="129"/>
      <c r="K29" s="129"/>
    </row>
    <row r="30" spans="1:11" ht="15" customHeight="1" x14ac:dyDescent="0.3">
      <c r="A30" s="41" t="s">
        <v>287</v>
      </c>
      <c r="B30" s="127" t="str">
        <f>'2-Mon Projet'!D32&amp;" clients + industrialisation production"</f>
        <v>8 clients + industrialisation production</v>
      </c>
      <c r="C30" s="127"/>
      <c r="D30" s="127"/>
      <c r="E30" s="127"/>
      <c r="F30" s="127"/>
      <c r="G30" s="127"/>
      <c r="H30" s="127"/>
      <c r="I30" s="127"/>
      <c r="J30" s="127"/>
      <c r="K30" s="127"/>
    </row>
    <row r="31" spans="1:11" ht="15" customHeight="1" x14ac:dyDescent="0.3">
      <c r="A31" s="41" t="s">
        <v>305</v>
      </c>
      <c r="B31" s="126" t="s">
        <v>316</v>
      </c>
      <c r="C31" s="126"/>
      <c r="D31" s="126"/>
      <c r="E31" s="126"/>
      <c r="F31" s="126"/>
      <c r="G31" s="126"/>
      <c r="H31" s="126"/>
      <c r="I31" s="126"/>
      <c r="J31" s="126"/>
      <c r="K31" s="126"/>
    </row>
    <row r="32" spans="1:11" ht="15" customHeight="1" x14ac:dyDescent="0.3">
      <c r="A32" s="41" t="s">
        <v>291</v>
      </c>
      <c r="B32" s="126" t="s">
        <v>317</v>
      </c>
      <c r="C32" s="126"/>
      <c r="D32" s="126"/>
      <c r="E32" s="126"/>
      <c r="F32" s="126"/>
      <c r="G32" s="126"/>
      <c r="H32" s="126"/>
      <c r="I32" s="126"/>
      <c r="J32" s="126"/>
      <c r="K32" s="126"/>
    </row>
    <row r="33" spans="1:11" ht="15" customHeight="1" x14ac:dyDescent="0.3">
      <c r="A33" s="41" t="s">
        <v>292</v>
      </c>
      <c r="B33" s="126" t="s">
        <v>318</v>
      </c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ht="15" customHeight="1" x14ac:dyDescent="0.3">
      <c r="A34" s="41" t="s">
        <v>294</v>
      </c>
      <c r="B34" s="127" t="str">
        <f>IF('2-Mon Projet'!D26=0,"Non applicable (solo)","⚠️ Préparer si objectif &gt; 0")</f>
        <v>⚠️ Préparer si objectif &gt; 0</v>
      </c>
      <c r="C34" s="127"/>
      <c r="D34" s="127"/>
      <c r="E34" s="127"/>
      <c r="F34" s="127"/>
      <c r="G34" s="127"/>
      <c r="H34" s="127"/>
      <c r="I34" s="127"/>
      <c r="J34" s="127"/>
      <c r="K34" s="127"/>
    </row>
    <row r="35" spans="1:11" ht="15" customHeight="1" x14ac:dyDescent="0.3">
      <c r="A35" s="41" t="s">
        <v>296</v>
      </c>
      <c r="B35" s="126" t="s">
        <v>319</v>
      </c>
      <c r="C35" s="126"/>
      <c r="D35" s="126"/>
      <c r="E35" s="126"/>
      <c r="F35" s="126"/>
      <c r="G35" s="126"/>
      <c r="H35" s="126"/>
      <c r="I35" s="126"/>
      <c r="J35" s="126"/>
      <c r="K35" s="126"/>
    </row>
    <row r="36" spans="1:11" ht="15" customHeight="1" x14ac:dyDescent="0.3">
      <c r="A36" s="41" t="s">
        <v>298</v>
      </c>
      <c r="B36" s="126" t="s">
        <v>320</v>
      </c>
      <c r="C36" s="126"/>
      <c r="D36" s="126"/>
      <c r="E36" s="126"/>
      <c r="F36" s="126"/>
      <c r="G36" s="126"/>
      <c r="H36" s="126"/>
      <c r="I36" s="126"/>
      <c r="J36" s="126"/>
      <c r="K36" s="126"/>
    </row>
    <row r="37" spans="1:11" ht="15" customHeight="1" x14ac:dyDescent="0.3">
      <c r="A37" s="41" t="s">
        <v>300</v>
      </c>
      <c r="B37" s="126" t="s">
        <v>321</v>
      </c>
      <c r="C37" s="126"/>
      <c r="D37" s="126"/>
      <c r="E37" s="126"/>
      <c r="F37" s="126"/>
      <c r="G37" s="126"/>
      <c r="H37" s="126"/>
      <c r="I37" s="126"/>
      <c r="J37" s="126"/>
      <c r="K37" s="126"/>
    </row>
    <row r="38" spans="1:11" ht="15" customHeight="1" x14ac:dyDescent="0.3">
      <c r="A38" s="41" t="s">
        <v>322</v>
      </c>
      <c r="B38" s="123" t="s">
        <v>323</v>
      </c>
      <c r="C38" s="123"/>
      <c r="D38" s="123"/>
      <c r="E38" s="123"/>
      <c r="F38" s="123"/>
      <c r="G38" s="123"/>
      <c r="H38" s="123"/>
      <c r="I38" s="123"/>
      <c r="J38" s="123"/>
      <c r="K38" s="123"/>
    </row>
    <row r="40" spans="1:11" ht="17.25" customHeight="1" x14ac:dyDescent="0.3">
      <c r="A40" s="128" t="s">
        <v>324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</row>
    <row r="41" spans="1:11" ht="15" customHeight="1" x14ac:dyDescent="0.3">
      <c r="A41" s="41" t="s">
        <v>67</v>
      </c>
      <c r="B41" s="129" t="str">
        <f>IF(AND('0-Saisie'!E66="Terminé",'0-Saisie'!E67="Terminé",'0-Saisie'!E68="Terminé",'0-Saisie'!E69="Terminé"),"✅ GO","⏳ EN COURS")</f>
        <v>✅ GO</v>
      </c>
      <c r="C41" s="129"/>
      <c r="D41" s="129"/>
      <c r="E41" s="129"/>
      <c r="F41" s="129"/>
      <c r="G41" s="129"/>
      <c r="H41" s="129"/>
      <c r="I41" s="129"/>
      <c r="J41" s="129"/>
      <c r="K41" s="129"/>
    </row>
    <row r="42" spans="1:11" ht="15" customHeight="1" x14ac:dyDescent="0.3">
      <c r="A42" s="41" t="s">
        <v>287</v>
      </c>
      <c r="B42" s="127" t="str">
        <f>'2-Mon Projet'!D33&amp;" clients + structuration (RH si applicable)"</f>
        <v>25 clients + structuration (RH si applicable)</v>
      </c>
      <c r="C42" s="127"/>
      <c r="D42" s="127"/>
      <c r="E42" s="127"/>
      <c r="F42" s="127"/>
      <c r="G42" s="127"/>
      <c r="H42" s="127"/>
      <c r="I42" s="127"/>
      <c r="J42" s="127"/>
      <c r="K42" s="127"/>
    </row>
    <row r="43" spans="1:11" ht="15" customHeight="1" x14ac:dyDescent="0.3">
      <c r="A43" s="41" t="s">
        <v>305</v>
      </c>
      <c r="B43" s="127" t="str">
        <f>ROUND('2-Mon Projet'!D50/12,0)&amp;" €/mois"</f>
        <v>6250 €/mois</v>
      </c>
      <c r="C43" s="127"/>
      <c r="D43" s="127"/>
      <c r="E43" s="127"/>
      <c r="F43" s="127"/>
      <c r="G43" s="127"/>
      <c r="H43" s="127"/>
      <c r="I43" s="127"/>
      <c r="J43" s="127"/>
      <c r="K43" s="127"/>
    </row>
    <row r="44" spans="1:11" ht="15" customHeight="1" x14ac:dyDescent="0.3">
      <c r="A44" s="41" t="s">
        <v>291</v>
      </c>
      <c r="B44" s="126" t="s">
        <v>325</v>
      </c>
      <c r="C44" s="126"/>
      <c r="D44" s="126"/>
      <c r="E44" s="126"/>
      <c r="F44" s="126"/>
      <c r="G44" s="126"/>
      <c r="H44" s="126"/>
      <c r="I44" s="126"/>
      <c r="J44" s="126"/>
      <c r="K44" s="126"/>
    </row>
    <row r="45" spans="1:11" ht="15" customHeight="1" x14ac:dyDescent="0.3">
      <c r="A45" s="41" t="s">
        <v>292</v>
      </c>
      <c r="B45" s="126" t="s">
        <v>326</v>
      </c>
      <c r="C45" s="126"/>
      <c r="D45" s="126"/>
      <c r="E45" s="126"/>
      <c r="F45" s="126"/>
      <c r="G45" s="126"/>
      <c r="H45" s="126"/>
      <c r="I45" s="126"/>
      <c r="J45" s="126"/>
      <c r="K45" s="126"/>
    </row>
    <row r="46" spans="1:11" ht="15" customHeight="1" x14ac:dyDescent="0.3">
      <c r="A46" s="41" t="s">
        <v>294</v>
      </c>
      <c r="B46" s="127" t="str">
        <f>IF('2-Mon Projet'!D26=0,"Non applicable","✅ GO recrutement M+"&amp;'2-Mon Projet'!D27)</f>
        <v>✅ GO recrutement M+6</v>
      </c>
      <c r="C46" s="127"/>
      <c r="D46" s="127"/>
      <c r="E46" s="127"/>
      <c r="F46" s="127"/>
      <c r="G46" s="127"/>
      <c r="H46" s="127"/>
      <c r="I46" s="127"/>
      <c r="J46" s="127"/>
      <c r="K46" s="127"/>
    </row>
    <row r="47" spans="1:11" ht="15" customHeight="1" x14ac:dyDescent="0.3">
      <c r="A47" s="41" t="s">
        <v>296</v>
      </c>
      <c r="B47" s="126" t="s">
        <v>327</v>
      </c>
      <c r="C47" s="126"/>
      <c r="D47" s="126"/>
      <c r="E47" s="126"/>
      <c r="F47" s="126"/>
      <c r="G47" s="126"/>
      <c r="H47" s="126"/>
      <c r="I47" s="126"/>
      <c r="J47" s="126"/>
      <c r="K47" s="126"/>
    </row>
    <row r="48" spans="1:11" ht="15" customHeight="1" x14ac:dyDescent="0.3">
      <c r="A48" s="41" t="s">
        <v>298</v>
      </c>
      <c r="B48" s="126" t="s">
        <v>328</v>
      </c>
      <c r="C48" s="126"/>
      <c r="D48" s="126"/>
      <c r="E48" s="126"/>
      <c r="F48" s="126"/>
      <c r="G48" s="126"/>
      <c r="H48" s="126"/>
      <c r="I48" s="126"/>
      <c r="J48" s="126"/>
      <c r="K48" s="126"/>
    </row>
    <row r="49" spans="1:11" ht="15" customHeight="1" x14ac:dyDescent="0.3">
      <c r="A49" s="41" t="s">
        <v>300</v>
      </c>
      <c r="B49" s="126" t="s">
        <v>329</v>
      </c>
      <c r="C49" s="126"/>
      <c r="D49" s="126"/>
      <c r="E49" s="126"/>
      <c r="F49" s="126"/>
      <c r="G49" s="126"/>
      <c r="H49" s="126"/>
      <c r="I49" s="126"/>
      <c r="J49" s="126"/>
      <c r="K49" s="126"/>
    </row>
    <row r="50" spans="1:11" ht="15" customHeight="1" x14ac:dyDescent="0.3">
      <c r="A50" s="41" t="s">
        <v>330</v>
      </c>
      <c r="B50" s="123" t="s">
        <v>331</v>
      </c>
      <c r="C50" s="123"/>
      <c r="D50" s="123"/>
      <c r="E50" s="123"/>
      <c r="F50" s="123"/>
      <c r="G50" s="123"/>
      <c r="H50" s="123"/>
      <c r="I50" s="123"/>
      <c r="J50" s="123"/>
      <c r="K50" s="123"/>
    </row>
    <row r="53" spans="1:11" ht="15" customHeight="1" x14ac:dyDescent="0.3">
      <c r="A53" s="124" t="s">
        <v>332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11" ht="15" customHeight="1" x14ac:dyDescent="0.3">
      <c r="A54" s="105" t="s">
        <v>333</v>
      </c>
      <c r="B54" s="105"/>
      <c r="C54" s="105"/>
      <c r="D54" s="105"/>
      <c r="E54" s="105"/>
      <c r="F54" s="105"/>
      <c r="G54" s="105"/>
      <c r="H54" s="105"/>
      <c r="I54" s="105"/>
      <c r="J54" s="105"/>
      <c r="K54" s="105"/>
    </row>
    <row r="55" spans="1:11" ht="15" customHeight="1" x14ac:dyDescent="0.3">
      <c r="A55" s="105" t="s">
        <v>334</v>
      </c>
      <c r="B55" s="105"/>
      <c r="C55" s="105"/>
      <c r="D55" s="105"/>
      <c r="E55" s="105"/>
      <c r="F55" s="105"/>
      <c r="G55" s="105"/>
      <c r="H55" s="105"/>
      <c r="I55" s="105"/>
      <c r="J55" s="105"/>
      <c r="K55" s="105"/>
    </row>
    <row r="56" spans="1:11" ht="15" customHeight="1" x14ac:dyDescent="0.3">
      <c r="A56" s="125" t="s">
        <v>335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</row>
  </sheetData>
  <sheetProtection algorithmName="SHA-512" hashValue="6INHx/UU/PpQpqEmeJDEOmbq6qEOrTL2mOOKV/NIC525OBylCsUk0jWJX8vRg4fDTcksLAzqb2xZEQvcwa9bmQ==" saltValue="7lknug5AyEu0WP0cNcEwZA==" spinCount="100000" sheet="1" objects="1" scenarios="1"/>
  <mergeCells count="50">
    <mergeCell ref="A1:K1"/>
    <mergeCell ref="A2:K2"/>
    <mergeCell ref="A4:K4"/>
    <mergeCell ref="B5:K5"/>
    <mergeCell ref="B6:K6"/>
    <mergeCell ref="B7:K7"/>
    <mergeCell ref="B8:K8"/>
    <mergeCell ref="B9:K9"/>
    <mergeCell ref="B10:K10"/>
    <mergeCell ref="B11:K11"/>
    <mergeCell ref="B12:K12"/>
    <mergeCell ref="B13:K13"/>
    <mergeCell ref="B14:K14"/>
    <mergeCell ref="A16:K16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B26:K26"/>
    <mergeCell ref="A28:K28"/>
    <mergeCell ref="B29:K29"/>
    <mergeCell ref="B30:K30"/>
    <mergeCell ref="B31:K31"/>
    <mergeCell ref="B32:K32"/>
    <mergeCell ref="B33:K33"/>
    <mergeCell ref="B34:K34"/>
    <mergeCell ref="B35:K35"/>
    <mergeCell ref="B36:K36"/>
    <mergeCell ref="B37:K37"/>
    <mergeCell ref="B38:K38"/>
    <mergeCell ref="A40:K40"/>
    <mergeCell ref="B41:K41"/>
    <mergeCell ref="B42:K42"/>
    <mergeCell ref="B43:K43"/>
    <mergeCell ref="B44:K44"/>
    <mergeCell ref="B45:K45"/>
    <mergeCell ref="B46:K46"/>
    <mergeCell ref="B47:K47"/>
    <mergeCell ref="B48:K48"/>
    <mergeCell ref="B49:K49"/>
    <mergeCell ref="B50:K50"/>
    <mergeCell ref="A53:K53"/>
    <mergeCell ref="A54:K54"/>
    <mergeCell ref="A55:K55"/>
    <mergeCell ref="A56:K5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4"/>
  <sheetViews>
    <sheetView showGridLines="0" zoomScale="77" zoomScaleNormal="77" workbookViewId="0"/>
  </sheetViews>
  <sheetFormatPr baseColWidth="10" defaultColWidth="8.6640625" defaultRowHeight="14.4" x14ac:dyDescent="0.3"/>
  <cols>
    <col min="1" max="1" width="7.33203125" customWidth="1"/>
    <col min="2" max="2" width="24.33203125" customWidth="1"/>
    <col min="3" max="3" width="36.5546875" customWidth="1"/>
  </cols>
  <sheetData>
    <row r="1" spans="1:26" ht="19.5" customHeight="1" x14ac:dyDescent="0.35">
      <c r="A1" s="42" t="s">
        <v>336</v>
      </c>
    </row>
    <row r="2" spans="1:26" ht="15" customHeight="1" x14ac:dyDescent="0.3">
      <c r="A2" t="s">
        <v>337</v>
      </c>
      <c r="B2" s="43" t="str">
        <f>'2-Mon Projet'!D11</f>
        <v>Creation ex-nihilo</v>
      </c>
      <c r="D2" t="s">
        <v>338</v>
      </c>
      <c r="E2" s="43" t="str">
        <f>'2-Mon Projet'!D51&amp;" mois"</f>
        <v>18 mois</v>
      </c>
      <c r="G2" t="s">
        <v>339</v>
      </c>
      <c r="H2" s="43" t="str">
        <f>'2-Mon Projet'!D47</f>
        <v>OUI</v>
      </c>
    </row>
    <row r="4" spans="1:26" ht="15" customHeight="1" x14ac:dyDescent="0.3">
      <c r="A4" s="44" t="s">
        <v>65</v>
      </c>
      <c r="B4" s="44" t="s">
        <v>340</v>
      </c>
      <c r="C4" s="44" t="s">
        <v>341</v>
      </c>
      <c r="D4" s="44" t="s">
        <v>342</v>
      </c>
      <c r="E4" s="44" t="s">
        <v>343</v>
      </c>
      <c r="F4" s="44" t="s">
        <v>344</v>
      </c>
      <c r="G4" s="44" t="s">
        <v>345</v>
      </c>
      <c r="H4" s="45" t="s">
        <v>346</v>
      </c>
      <c r="I4" s="45" t="s">
        <v>347</v>
      </c>
      <c r="J4" s="45" t="s">
        <v>348</v>
      </c>
      <c r="K4" s="45" t="s">
        <v>349</v>
      </c>
      <c r="L4" s="45" t="s">
        <v>350</v>
      </c>
      <c r="M4" s="45" t="s">
        <v>351</v>
      </c>
      <c r="N4" s="46" t="s">
        <v>352</v>
      </c>
      <c r="O4" s="45" t="s">
        <v>353</v>
      </c>
      <c r="P4" s="45" t="s">
        <v>354</v>
      </c>
      <c r="Q4" s="45" t="s">
        <v>355</v>
      </c>
      <c r="R4" s="45" t="s">
        <v>356</v>
      </c>
      <c r="S4" s="45" t="s">
        <v>357</v>
      </c>
      <c r="T4" s="45" t="s">
        <v>358</v>
      </c>
      <c r="U4" s="45" t="s">
        <v>359</v>
      </c>
      <c r="V4" s="45" t="s">
        <v>360</v>
      </c>
      <c r="W4" s="45" t="s">
        <v>361</v>
      </c>
      <c r="X4" s="45" t="s">
        <v>362</v>
      </c>
      <c r="Y4" s="45" t="s">
        <v>363</v>
      </c>
      <c r="Z4" s="45" t="s">
        <v>364</v>
      </c>
    </row>
    <row r="5" spans="1:26" ht="15" customHeight="1" x14ac:dyDescent="0.3">
      <c r="A5" s="47"/>
      <c r="B5" s="47" t="s">
        <v>365</v>
      </c>
      <c r="C5" s="47" t="s">
        <v>366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" customHeight="1" x14ac:dyDescent="0.3">
      <c r="A6" t="s">
        <v>69</v>
      </c>
      <c r="B6" t="s">
        <v>197</v>
      </c>
      <c r="C6" t="s">
        <v>367</v>
      </c>
      <c r="D6" s="43">
        <f>ROUND(2*'2-Mon Projet'!$D$45,0)</f>
        <v>2</v>
      </c>
      <c r="E6" s="43">
        <v>-6</v>
      </c>
      <c r="F6" s="43">
        <f t="shared" ref="F6:F11" si="0">IF(OR($D6="-",$D6=""),"",$E6+ROUND($D6/4,0))</f>
        <v>-5</v>
      </c>
      <c r="G6" s="48" t="str">
        <f>IFERROR(IF(VLOOKUP($A6,'5-PERT'!$A$4:$K$26,11,FALSE())="CRITIQUE","OUI","Non"),"Non")</f>
        <v>OUI</v>
      </c>
      <c r="H6" s="49">
        <f t="shared" ref="H6:H11" si="1">IF(OR($D6="-",$D6=""),"",IF(AND(-6&gt;=$E6,-6&lt;=$F6),1,""))</f>
        <v>1</v>
      </c>
      <c r="I6" s="49">
        <f t="shared" ref="I6:I11" si="2">IF(OR($D6="-",$D6=""),"",IF(AND(-5&gt;=$E6,-5&lt;=$F6),1,""))</f>
        <v>1</v>
      </c>
      <c r="J6" s="50" t="str">
        <f t="shared" ref="J6:J11" si="3">IF(OR($D6="-",$D6=""),"",IF(AND(-4&gt;=$E6,-4&lt;=$F6),1,""))</f>
        <v/>
      </c>
      <c r="K6" s="50" t="str">
        <f t="shared" ref="K6:K11" si="4">IF(OR($D6="-",$D6=""),"",IF(AND(-3&gt;=$E6,-3&lt;=$F6),1,""))</f>
        <v/>
      </c>
      <c r="L6" s="50" t="str">
        <f t="shared" ref="L6:L11" si="5">IF(OR($D6="-",$D6=""),"",IF(AND(-2&gt;=$E6,-2&lt;=$F6),1,""))</f>
        <v/>
      </c>
      <c r="M6" s="50" t="str">
        <f t="shared" ref="M6:M11" si="6">IF(OR($D6="-",$D6=""),"",IF(AND(-1&gt;=$E6,-1&lt;=$F6),1,""))</f>
        <v/>
      </c>
      <c r="N6" s="50" t="str">
        <f t="shared" ref="N6:N11" si="7">IF(OR($D6="-",$D6=""),"",IF(AND(0&gt;=$E6,0&lt;=$F6),1,""))</f>
        <v/>
      </c>
      <c r="O6" s="50" t="str">
        <f t="shared" ref="O6:O11" si="8">IF(OR($D6="-",$D6=""),"",IF(AND(1&gt;=$E6,1&lt;=$F6),1,""))</f>
        <v/>
      </c>
      <c r="P6" s="50" t="str">
        <f t="shared" ref="P6:P11" si="9">IF(OR($D6="-",$D6=""),"",IF(AND(2&gt;=$E6,2&lt;=$F6),1,""))</f>
        <v/>
      </c>
      <c r="Q6" s="50" t="str">
        <f t="shared" ref="Q6:Q11" si="10">IF(OR($D6="-",$D6=""),"",IF(AND(3&gt;=$E6,3&lt;=$F6),1,""))</f>
        <v/>
      </c>
      <c r="R6" s="50" t="str">
        <f t="shared" ref="R6:R11" si="11">IF(OR($D6="-",$D6=""),"",IF(AND(4&gt;=$E6,4&lt;=$F6),1,""))</f>
        <v/>
      </c>
      <c r="S6" s="50" t="str">
        <f t="shared" ref="S6:S11" si="12">IF(OR($D6="-",$D6=""),"",IF(AND(5&gt;=$E6,5&lt;=$F6),1,""))</f>
        <v/>
      </c>
      <c r="T6" s="50" t="str">
        <f t="shared" ref="T6:T11" si="13">IF(OR($D6="-",$D6=""),"",IF(AND(6&gt;=$E6,6&lt;=$F6),1,""))</f>
        <v/>
      </c>
      <c r="U6" s="50" t="str">
        <f t="shared" ref="U6:U11" si="14">IF(OR($D6="-",$D6=""),"",IF(AND(7&gt;=$E6,7&lt;=$F6),1,""))</f>
        <v/>
      </c>
      <c r="V6" s="50" t="str">
        <f t="shared" ref="V6:V11" si="15">IF(OR($D6="-",$D6=""),"",IF(AND(8&gt;=$E6,8&lt;=$F6),1,""))</f>
        <v/>
      </c>
      <c r="W6" s="50" t="str">
        <f t="shared" ref="W6:W11" si="16">IF(OR($D6="-",$D6=""),"",IF(AND(9&gt;=$E6,9&lt;=$F6),1,""))</f>
        <v/>
      </c>
      <c r="X6" s="50" t="str">
        <f t="shared" ref="X6:X11" si="17">IF(OR($D6="-",$D6=""),"",IF(AND(10&gt;=$E6,10&lt;=$F6),1,""))</f>
        <v/>
      </c>
      <c r="Y6" s="50" t="str">
        <f t="shared" ref="Y6:Y11" si="18">IF(OR($D6="-",$D6=""),"",IF(AND(11&gt;=$E6,11&lt;=$F6),1,""))</f>
        <v/>
      </c>
      <c r="Z6" s="50" t="str">
        <f t="shared" ref="Z6:Z11" si="19">IF(OR($D6="-",$D6=""),"",IF(AND(12&gt;=$E6,12&lt;=$F6),1,""))</f>
        <v/>
      </c>
    </row>
    <row r="7" spans="1:26" ht="15" customHeight="1" x14ac:dyDescent="0.3">
      <c r="A7" t="s">
        <v>73</v>
      </c>
      <c r="B7" t="s">
        <v>197</v>
      </c>
      <c r="C7" t="s">
        <v>368</v>
      </c>
      <c r="D7" s="43">
        <f>ROUND(3*'2-Mon Projet'!$D$44*'2-Mon Projet'!$D$45,0)</f>
        <v>3</v>
      </c>
      <c r="E7" s="43">
        <v>-5</v>
      </c>
      <c r="F7" s="43">
        <f t="shared" si="0"/>
        <v>-4</v>
      </c>
      <c r="G7" s="48" t="str">
        <f>IFERROR(IF(VLOOKUP($A7,'5-PERT'!$A$4:$K$26,11,FALSE())="CRITIQUE","OUI","Non"),"Non")</f>
        <v>OUI</v>
      </c>
      <c r="H7" s="50" t="str">
        <f t="shared" si="1"/>
        <v/>
      </c>
      <c r="I7" s="49">
        <f t="shared" si="2"/>
        <v>1</v>
      </c>
      <c r="J7" s="49">
        <f t="shared" si="3"/>
        <v>1</v>
      </c>
      <c r="K7" s="50" t="str">
        <f t="shared" si="4"/>
        <v/>
      </c>
      <c r="L7" s="50" t="str">
        <f t="shared" si="5"/>
        <v/>
      </c>
      <c r="M7" s="50" t="str">
        <f t="shared" si="6"/>
        <v/>
      </c>
      <c r="N7" s="50" t="str">
        <f t="shared" si="7"/>
        <v/>
      </c>
      <c r="O7" s="50" t="str">
        <f t="shared" si="8"/>
        <v/>
      </c>
      <c r="P7" s="50" t="str">
        <f t="shared" si="9"/>
        <v/>
      </c>
      <c r="Q7" s="50" t="str">
        <f t="shared" si="10"/>
        <v/>
      </c>
      <c r="R7" s="50" t="str">
        <f t="shared" si="11"/>
        <v/>
      </c>
      <c r="S7" s="50" t="str">
        <f t="shared" si="12"/>
        <v/>
      </c>
      <c r="T7" s="50" t="str">
        <f t="shared" si="13"/>
        <v/>
      </c>
      <c r="U7" s="50" t="str">
        <f t="shared" si="14"/>
        <v/>
      </c>
      <c r="V7" s="50" t="str">
        <f t="shared" si="15"/>
        <v/>
      </c>
      <c r="W7" s="50" t="str">
        <f t="shared" si="16"/>
        <v/>
      </c>
      <c r="X7" s="50" t="str">
        <f t="shared" si="17"/>
        <v/>
      </c>
      <c r="Y7" s="50" t="str">
        <f t="shared" si="18"/>
        <v/>
      </c>
      <c r="Z7" s="50" t="str">
        <f t="shared" si="19"/>
        <v/>
      </c>
    </row>
    <row r="8" spans="1:26" ht="15" customHeight="1" x14ac:dyDescent="0.3">
      <c r="A8" t="s">
        <v>76</v>
      </c>
      <c r="B8" t="s">
        <v>197</v>
      </c>
      <c r="C8" t="s">
        <v>369</v>
      </c>
      <c r="D8" s="43">
        <f>ROUND(4*'2-Mon Projet'!$D$45,0)</f>
        <v>4</v>
      </c>
      <c r="E8" s="43">
        <v>-4</v>
      </c>
      <c r="F8" s="43">
        <f t="shared" si="0"/>
        <v>-3</v>
      </c>
      <c r="G8" s="48" t="str">
        <f>IFERROR(IF(VLOOKUP($A8,'5-PERT'!$A$4:$K$26,11,FALSE())="CRITIQUE","OUI","Non"),"Non")</f>
        <v>OUI</v>
      </c>
      <c r="H8" s="50" t="str">
        <f t="shared" si="1"/>
        <v/>
      </c>
      <c r="I8" s="50" t="str">
        <f t="shared" si="2"/>
        <v/>
      </c>
      <c r="J8" s="49">
        <f t="shared" si="3"/>
        <v>1</v>
      </c>
      <c r="K8" s="49">
        <f t="shared" si="4"/>
        <v>1</v>
      </c>
      <c r="L8" s="50" t="str">
        <f t="shared" si="5"/>
        <v/>
      </c>
      <c r="M8" s="50" t="str">
        <f t="shared" si="6"/>
        <v/>
      </c>
      <c r="N8" s="50" t="str">
        <f t="shared" si="7"/>
        <v/>
      </c>
      <c r="O8" s="50" t="str">
        <f t="shared" si="8"/>
        <v/>
      </c>
      <c r="P8" s="50" t="str">
        <f t="shared" si="9"/>
        <v/>
      </c>
      <c r="Q8" s="50" t="str">
        <f t="shared" si="10"/>
        <v/>
      </c>
      <c r="R8" s="50" t="str">
        <f t="shared" si="11"/>
        <v/>
      </c>
      <c r="S8" s="50" t="str">
        <f t="shared" si="12"/>
        <v/>
      </c>
      <c r="T8" s="50" t="str">
        <f t="shared" si="13"/>
        <v/>
      </c>
      <c r="U8" s="50" t="str">
        <f t="shared" si="14"/>
        <v/>
      </c>
      <c r="V8" s="50" t="str">
        <f t="shared" si="15"/>
        <v/>
      </c>
      <c r="W8" s="50" t="str">
        <f t="shared" si="16"/>
        <v/>
      </c>
      <c r="X8" s="50" t="str">
        <f t="shared" si="17"/>
        <v/>
      </c>
      <c r="Y8" s="50" t="str">
        <f t="shared" si="18"/>
        <v/>
      </c>
      <c r="Z8" s="50" t="str">
        <f t="shared" si="19"/>
        <v/>
      </c>
    </row>
    <row r="9" spans="1:26" ht="15" customHeight="1" x14ac:dyDescent="0.3">
      <c r="A9" t="s">
        <v>79</v>
      </c>
      <c r="B9" t="s">
        <v>197</v>
      </c>
      <c r="C9" t="s">
        <v>370</v>
      </c>
      <c r="D9" s="43">
        <f>ROUND(3*'2-Mon Projet'!$D$45,0)</f>
        <v>3</v>
      </c>
      <c r="E9" s="43">
        <v>-3</v>
      </c>
      <c r="F9" s="43">
        <f t="shared" si="0"/>
        <v>-2</v>
      </c>
      <c r="G9" s="48" t="str">
        <f>IFERROR(IF(VLOOKUP($A9,'5-PERT'!$A$4:$K$26,11,FALSE())="CRITIQUE","OUI","Non"),"Non")</f>
        <v>OUI</v>
      </c>
      <c r="H9" s="50" t="str">
        <f t="shared" si="1"/>
        <v/>
      </c>
      <c r="I9" s="50" t="str">
        <f t="shared" si="2"/>
        <v/>
      </c>
      <c r="J9" s="50" t="str">
        <f t="shared" si="3"/>
        <v/>
      </c>
      <c r="K9" s="49">
        <f t="shared" si="4"/>
        <v>1</v>
      </c>
      <c r="L9" s="49">
        <f t="shared" si="5"/>
        <v>1</v>
      </c>
      <c r="M9" s="50" t="str">
        <f t="shared" si="6"/>
        <v/>
      </c>
      <c r="N9" s="50" t="str">
        <f t="shared" si="7"/>
        <v/>
      </c>
      <c r="O9" s="50" t="str">
        <f t="shared" si="8"/>
        <v/>
      </c>
      <c r="P9" s="50" t="str">
        <f t="shared" si="9"/>
        <v/>
      </c>
      <c r="Q9" s="50" t="str">
        <f t="shared" si="10"/>
        <v/>
      </c>
      <c r="R9" s="50" t="str">
        <f t="shared" si="11"/>
        <v/>
      </c>
      <c r="S9" s="50" t="str">
        <f t="shared" si="12"/>
        <v/>
      </c>
      <c r="T9" s="50" t="str">
        <f t="shared" si="13"/>
        <v/>
      </c>
      <c r="U9" s="50" t="str">
        <f t="shared" si="14"/>
        <v/>
      </c>
      <c r="V9" s="50" t="str">
        <f t="shared" si="15"/>
        <v/>
      </c>
      <c r="W9" s="50" t="str">
        <f t="shared" si="16"/>
        <v/>
      </c>
      <c r="X9" s="50" t="str">
        <f t="shared" si="17"/>
        <v/>
      </c>
      <c r="Y9" s="50" t="str">
        <f t="shared" si="18"/>
        <v/>
      </c>
      <c r="Z9" s="50" t="str">
        <f t="shared" si="19"/>
        <v/>
      </c>
    </row>
    <row r="10" spans="1:26" ht="15" customHeight="1" x14ac:dyDescent="0.3">
      <c r="A10" t="s">
        <v>82</v>
      </c>
      <c r="B10" t="s">
        <v>197</v>
      </c>
      <c r="C10" t="s">
        <v>371</v>
      </c>
      <c r="D10" s="43">
        <f>ROUND(2*'2-Mon Projet'!$D$46,0)</f>
        <v>3</v>
      </c>
      <c r="E10" s="43">
        <v>-3</v>
      </c>
      <c r="F10" s="43">
        <f t="shared" si="0"/>
        <v>-2</v>
      </c>
      <c r="G10" s="48" t="str">
        <f>IFERROR(IF(VLOOKUP($A10,'5-PERT'!$A$4:$K$26,11,FALSE())="CRITIQUE","OUI","Non"),"Non")</f>
        <v>OUI</v>
      </c>
      <c r="H10" s="50" t="str">
        <f t="shared" si="1"/>
        <v/>
      </c>
      <c r="I10" s="50" t="str">
        <f t="shared" si="2"/>
        <v/>
      </c>
      <c r="J10" s="50" t="str">
        <f t="shared" si="3"/>
        <v/>
      </c>
      <c r="K10" s="49">
        <f t="shared" si="4"/>
        <v>1</v>
      </c>
      <c r="L10" s="49">
        <f t="shared" si="5"/>
        <v>1</v>
      </c>
      <c r="M10" s="50" t="str">
        <f t="shared" si="6"/>
        <v/>
      </c>
      <c r="N10" s="50" t="str">
        <f t="shared" si="7"/>
        <v/>
      </c>
      <c r="O10" s="50" t="str">
        <f t="shared" si="8"/>
        <v/>
      </c>
      <c r="P10" s="50" t="str">
        <f t="shared" si="9"/>
        <v/>
      </c>
      <c r="Q10" s="50" t="str">
        <f t="shared" si="10"/>
        <v/>
      </c>
      <c r="R10" s="50" t="str">
        <f t="shared" si="11"/>
        <v/>
      </c>
      <c r="S10" s="50" t="str">
        <f t="shared" si="12"/>
        <v/>
      </c>
      <c r="T10" s="50" t="str">
        <f t="shared" si="13"/>
        <v/>
      </c>
      <c r="U10" s="50" t="str">
        <f t="shared" si="14"/>
        <v/>
      </c>
      <c r="V10" s="50" t="str">
        <f t="shared" si="15"/>
        <v/>
      </c>
      <c r="W10" s="50" t="str">
        <f t="shared" si="16"/>
        <v/>
      </c>
      <c r="X10" s="50" t="str">
        <f t="shared" si="17"/>
        <v/>
      </c>
      <c r="Y10" s="50" t="str">
        <f t="shared" si="18"/>
        <v/>
      </c>
      <c r="Z10" s="50" t="str">
        <f t="shared" si="19"/>
        <v/>
      </c>
    </row>
    <row r="11" spans="1:26" ht="15" customHeight="1" x14ac:dyDescent="0.3">
      <c r="A11" t="s">
        <v>85</v>
      </c>
      <c r="B11" t="s">
        <v>197</v>
      </c>
      <c r="C11" t="s">
        <v>372</v>
      </c>
      <c r="D11" s="43">
        <f>2</f>
        <v>2</v>
      </c>
      <c r="E11" s="43">
        <v>-4</v>
      </c>
      <c r="F11" s="43">
        <f t="shared" si="0"/>
        <v>-3</v>
      </c>
      <c r="G11" s="48" t="str">
        <f>IFERROR(IF(VLOOKUP($A11,'5-PERT'!$A$4:$K$26,11,FALSE())="CRITIQUE","OUI","Non"),"Non")</f>
        <v>Non</v>
      </c>
      <c r="H11" s="50" t="str">
        <f t="shared" si="1"/>
        <v/>
      </c>
      <c r="I11" s="50" t="str">
        <f t="shared" si="2"/>
        <v/>
      </c>
      <c r="J11" s="49">
        <f t="shared" si="3"/>
        <v>1</v>
      </c>
      <c r="K11" s="49">
        <f t="shared" si="4"/>
        <v>1</v>
      </c>
      <c r="L11" s="50" t="str">
        <f t="shared" si="5"/>
        <v/>
      </c>
      <c r="M11" s="50" t="str">
        <f t="shared" si="6"/>
        <v/>
      </c>
      <c r="N11" s="50" t="str">
        <f t="shared" si="7"/>
        <v/>
      </c>
      <c r="O11" s="50" t="str">
        <f t="shared" si="8"/>
        <v/>
      </c>
      <c r="P11" s="50" t="str">
        <f t="shared" si="9"/>
        <v/>
      </c>
      <c r="Q11" s="50" t="str">
        <f t="shared" si="10"/>
        <v/>
      </c>
      <c r="R11" s="50" t="str">
        <f t="shared" si="11"/>
        <v/>
      </c>
      <c r="S11" s="50" t="str">
        <f t="shared" si="12"/>
        <v/>
      </c>
      <c r="T11" s="50" t="str">
        <f t="shared" si="13"/>
        <v/>
      </c>
      <c r="U11" s="50" t="str">
        <f t="shared" si="14"/>
        <v/>
      </c>
      <c r="V11" s="50" t="str">
        <f t="shared" si="15"/>
        <v/>
      </c>
      <c r="W11" s="50" t="str">
        <f t="shared" si="16"/>
        <v/>
      </c>
      <c r="X11" s="50" t="str">
        <f t="shared" si="17"/>
        <v/>
      </c>
      <c r="Y11" s="50" t="str">
        <f t="shared" si="18"/>
        <v/>
      </c>
      <c r="Z11" s="50" t="str">
        <f t="shared" si="19"/>
        <v/>
      </c>
    </row>
    <row r="12" spans="1:26" ht="15" customHeight="1" x14ac:dyDescent="0.3">
      <c r="A12" s="47"/>
      <c r="B12" s="47" t="s">
        <v>373</v>
      </c>
      <c r="C12" s="47" t="s">
        <v>374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" customHeight="1" x14ac:dyDescent="0.3">
      <c r="A13" t="s">
        <v>88</v>
      </c>
      <c r="B13" t="s">
        <v>199</v>
      </c>
      <c r="C13" t="s">
        <v>375</v>
      </c>
      <c r="D13" s="43">
        <f>ROUND(4*'2-Mon Projet'!$D$44,0)</f>
        <v>4</v>
      </c>
      <c r="E13" s="43">
        <v>-2</v>
      </c>
      <c r="F13" s="43">
        <f>IF(OR($D13="-",$D13=""),"",$E13+ROUND($D13/4,0))</f>
        <v>-1</v>
      </c>
      <c r="G13" s="48" t="str">
        <f>IFERROR(IF(VLOOKUP($A13,'5-PERT'!$A$4:$K$26,11,FALSE())="CRITIQUE","OUI","Non"),"Non")</f>
        <v>OUI</v>
      </c>
      <c r="H13" s="50" t="str">
        <f>IF(OR($D13="-",$D13=""),"",IF(AND(-6&gt;=$E13,-6&lt;=$F13),1,""))</f>
        <v/>
      </c>
      <c r="I13" s="50" t="str">
        <f>IF(OR($D13="-",$D13=""),"",IF(AND(-5&gt;=$E13,-5&lt;=$F13),1,""))</f>
        <v/>
      </c>
      <c r="J13" s="50" t="str">
        <f>IF(OR($D13="-",$D13=""),"",IF(AND(-4&gt;=$E13,-4&lt;=$F13),1,""))</f>
        <v/>
      </c>
      <c r="K13" s="50" t="str">
        <f>IF(OR($D13="-",$D13=""),"",IF(AND(-3&gt;=$E13,-3&lt;=$F13),1,""))</f>
        <v/>
      </c>
      <c r="L13" s="51">
        <f>IF(OR($D13="-",$D13=""),"",IF(AND(-2&gt;=$E13,-2&lt;=$F13),1,""))</f>
        <v>1</v>
      </c>
      <c r="M13" s="51">
        <f>IF(OR($D13="-",$D13=""),"",IF(AND(-1&gt;=$E13,-1&lt;=$F13),1,""))</f>
        <v>1</v>
      </c>
      <c r="N13" s="50" t="str">
        <f>IF(OR($D13="-",$D13=""),"",IF(AND(0&gt;=$E13,0&lt;=$F13),1,""))</f>
        <v/>
      </c>
      <c r="O13" s="50" t="str">
        <f>IF(OR($D13="-",$D13=""),"",IF(AND(1&gt;=$E13,1&lt;=$F13),1,""))</f>
        <v/>
      </c>
      <c r="P13" s="50" t="str">
        <f>IF(OR($D13="-",$D13=""),"",IF(AND(2&gt;=$E13,2&lt;=$F13),1,""))</f>
        <v/>
      </c>
      <c r="Q13" s="50" t="str">
        <f>IF(OR($D13="-",$D13=""),"",IF(AND(3&gt;=$E13,3&lt;=$F13),1,""))</f>
        <v/>
      </c>
      <c r="R13" s="50" t="str">
        <f>IF(OR($D13="-",$D13=""),"",IF(AND(4&gt;=$E13,4&lt;=$F13),1,""))</f>
        <v/>
      </c>
      <c r="S13" s="50" t="str">
        <f>IF(OR($D13="-",$D13=""),"",IF(AND(5&gt;=$E13,5&lt;=$F13),1,""))</f>
        <v/>
      </c>
      <c r="T13" s="50" t="str">
        <f>IF(OR($D13="-",$D13=""),"",IF(AND(6&gt;=$E13,6&lt;=$F13),1,""))</f>
        <v/>
      </c>
      <c r="U13" s="50" t="str">
        <f>IF(OR($D13="-",$D13=""),"",IF(AND(7&gt;=$E13,7&lt;=$F13),1,""))</f>
        <v/>
      </c>
      <c r="V13" s="50" t="str">
        <f>IF(OR($D13="-",$D13=""),"",IF(AND(8&gt;=$E13,8&lt;=$F13),1,""))</f>
        <v/>
      </c>
      <c r="W13" s="50" t="str">
        <f>IF(OR($D13="-",$D13=""),"",IF(AND(9&gt;=$E13,9&lt;=$F13),1,""))</f>
        <v/>
      </c>
      <c r="X13" s="50" t="str">
        <f>IF(OR($D13="-",$D13=""),"",IF(AND(10&gt;=$E13,10&lt;=$F13),1,""))</f>
        <v/>
      </c>
      <c r="Y13" s="50" t="str">
        <f>IF(OR($D13="-",$D13=""),"",IF(AND(11&gt;=$E13,11&lt;=$F13),1,""))</f>
        <v/>
      </c>
      <c r="Z13" s="50" t="str">
        <f>IF(OR($D13="-",$D13=""),"",IF(AND(12&gt;=$E13,12&lt;=$F13),1,""))</f>
        <v/>
      </c>
    </row>
    <row r="14" spans="1:26" ht="15" customHeight="1" x14ac:dyDescent="0.3">
      <c r="A14" t="s">
        <v>91</v>
      </c>
      <c r="B14" t="s">
        <v>199</v>
      </c>
      <c r="C14" t="s">
        <v>376</v>
      </c>
      <c r="D14" s="43">
        <f>ROUND(6*'2-Mon Projet'!$D$44,0)</f>
        <v>6</v>
      </c>
      <c r="E14" s="43">
        <v>-1</v>
      </c>
      <c r="F14" s="43">
        <f>IF(OR($D14="-",$D14=""),"",$E14+ROUND($D14/4,0))</f>
        <v>1</v>
      </c>
      <c r="G14" s="48" t="str">
        <f>IFERROR(IF(VLOOKUP($A14,'5-PERT'!$A$4:$K$26,11,FALSE())="CRITIQUE","OUI","Non"),"Non")</f>
        <v>OUI</v>
      </c>
      <c r="H14" s="50" t="str">
        <f>IF(OR($D14="-",$D14=""),"",IF(AND(-6&gt;=$E14,-6&lt;=$F14),1,""))</f>
        <v/>
      </c>
      <c r="I14" s="50" t="str">
        <f>IF(OR($D14="-",$D14=""),"",IF(AND(-5&gt;=$E14,-5&lt;=$F14),1,""))</f>
        <v/>
      </c>
      <c r="J14" s="50" t="str">
        <f>IF(OR($D14="-",$D14=""),"",IF(AND(-4&gt;=$E14,-4&lt;=$F14),1,""))</f>
        <v/>
      </c>
      <c r="K14" s="50" t="str">
        <f>IF(OR($D14="-",$D14=""),"",IF(AND(-3&gt;=$E14,-3&lt;=$F14),1,""))</f>
        <v/>
      </c>
      <c r="L14" s="50" t="str">
        <f>IF(OR($D14="-",$D14=""),"",IF(AND(-2&gt;=$E14,-2&lt;=$F14),1,""))</f>
        <v/>
      </c>
      <c r="M14" s="51">
        <f>IF(OR($D14="-",$D14=""),"",IF(AND(-1&gt;=$E14,-1&lt;=$F14),1,""))</f>
        <v>1</v>
      </c>
      <c r="N14" s="51">
        <f>IF(OR($D14="-",$D14=""),"",IF(AND(0&gt;=$E14,0&lt;=$F14),1,""))</f>
        <v>1</v>
      </c>
      <c r="O14" s="50">
        <f>IF(OR($D14="-",$D14=""),"",IF(AND(1&gt;=$E14,1&lt;=$F14),1,""))</f>
        <v>1</v>
      </c>
      <c r="P14" s="50" t="str">
        <f>IF(OR($D14="-",$D14=""),"",IF(AND(2&gt;=$E14,2&lt;=$F14),1,""))</f>
        <v/>
      </c>
      <c r="Q14" s="50" t="str">
        <f>IF(OR($D14="-",$D14=""),"",IF(AND(3&gt;=$E14,3&lt;=$F14),1,""))</f>
        <v/>
      </c>
      <c r="R14" s="50" t="str">
        <f>IF(OR($D14="-",$D14=""),"",IF(AND(4&gt;=$E14,4&lt;=$F14),1,""))</f>
        <v/>
      </c>
      <c r="S14" s="50" t="str">
        <f>IF(OR($D14="-",$D14=""),"",IF(AND(5&gt;=$E14,5&lt;=$F14),1,""))</f>
        <v/>
      </c>
      <c r="T14" s="50" t="str">
        <f>IF(OR($D14="-",$D14=""),"",IF(AND(6&gt;=$E14,6&lt;=$F14),1,""))</f>
        <v/>
      </c>
      <c r="U14" s="50" t="str">
        <f>IF(OR($D14="-",$D14=""),"",IF(AND(7&gt;=$E14,7&lt;=$F14),1,""))</f>
        <v/>
      </c>
      <c r="V14" s="50" t="str">
        <f>IF(OR($D14="-",$D14=""),"",IF(AND(8&gt;=$E14,8&lt;=$F14),1,""))</f>
        <v/>
      </c>
      <c r="W14" s="50" t="str">
        <f>IF(OR($D14="-",$D14=""),"",IF(AND(9&gt;=$E14,9&lt;=$F14),1,""))</f>
        <v/>
      </c>
      <c r="X14" s="50" t="str">
        <f>IF(OR($D14="-",$D14=""),"",IF(AND(10&gt;=$E14,10&lt;=$F14),1,""))</f>
        <v/>
      </c>
      <c r="Y14" s="50" t="str">
        <f>IF(OR($D14="-",$D14=""),"",IF(AND(11&gt;=$E14,11&lt;=$F14),1,""))</f>
        <v/>
      </c>
      <c r="Z14" s="50" t="str">
        <f>IF(OR($D14="-",$D14=""),"",IF(AND(12&gt;=$E14,12&lt;=$F14),1,""))</f>
        <v/>
      </c>
    </row>
    <row r="15" spans="1:26" ht="15" customHeight="1" x14ac:dyDescent="0.3">
      <c r="A15" t="s">
        <v>94</v>
      </c>
      <c r="B15" t="s">
        <v>199</v>
      </c>
      <c r="C15" t="s">
        <v>95</v>
      </c>
      <c r="D15" s="43">
        <f>2</f>
        <v>2</v>
      </c>
      <c r="E15" s="43">
        <v>-1</v>
      </c>
      <c r="F15" s="43">
        <f>IF(OR($D15="-",$D15=""),"",$E15+ROUND($D15/4,0))</f>
        <v>0</v>
      </c>
      <c r="G15" s="48" t="str">
        <f>IFERROR(IF(VLOOKUP($A15,'5-PERT'!$A$4:$K$26,11,FALSE())="CRITIQUE","OUI","Non"),"Non")</f>
        <v>Non</v>
      </c>
      <c r="H15" s="50" t="str">
        <f>IF(OR($D15="-",$D15=""),"",IF(AND(-6&gt;=$E15,-6&lt;=$F15),1,""))</f>
        <v/>
      </c>
      <c r="I15" s="50" t="str">
        <f>IF(OR($D15="-",$D15=""),"",IF(AND(-5&gt;=$E15,-5&lt;=$F15),1,""))</f>
        <v/>
      </c>
      <c r="J15" s="50" t="str">
        <f>IF(OR($D15="-",$D15=""),"",IF(AND(-4&gt;=$E15,-4&lt;=$F15),1,""))</f>
        <v/>
      </c>
      <c r="K15" s="50" t="str">
        <f>IF(OR($D15="-",$D15=""),"",IF(AND(-3&gt;=$E15,-3&lt;=$F15),1,""))</f>
        <v/>
      </c>
      <c r="L15" s="50" t="str">
        <f>IF(OR($D15="-",$D15=""),"",IF(AND(-2&gt;=$E15,-2&lt;=$F15),1,""))</f>
        <v/>
      </c>
      <c r="M15" s="51">
        <f>IF(OR($D15="-",$D15=""),"",IF(AND(-1&gt;=$E15,-1&lt;=$F15),1,""))</f>
        <v>1</v>
      </c>
      <c r="N15" s="51">
        <f>IF(OR($D15="-",$D15=""),"",IF(AND(0&gt;=$E15,0&lt;=$F15),1,""))</f>
        <v>1</v>
      </c>
      <c r="O15" s="50" t="str">
        <f>IF(OR($D15="-",$D15=""),"",IF(AND(1&gt;=$E15,1&lt;=$F15),1,""))</f>
        <v/>
      </c>
      <c r="P15" s="50" t="str">
        <f>IF(OR($D15="-",$D15=""),"",IF(AND(2&gt;=$E15,2&lt;=$F15),1,""))</f>
        <v/>
      </c>
      <c r="Q15" s="50" t="str">
        <f>IF(OR($D15="-",$D15=""),"",IF(AND(3&gt;=$E15,3&lt;=$F15),1,""))</f>
        <v/>
      </c>
      <c r="R15" s="50" t="str">
        <f>IF(OR($D15="-",$D15=""),"",IF(AND(4&gt;=$E15,4&lt;=$F15),1,""))</f>
        <v/>
      </c>
      <c r="S15" s="50" t="str">
        <f>IF(OR($D15="-",$D15=""),"",IF(AND(5&gt;=$E15,5&lt;=$F15),1,""))</f>
        <v/>
      </c>
      <c r="T15" s="50" t="str">
        <f>IF(OR($D15="-",$D15=""),"",IF(AND(6&gt;=$E15,6&lt;=$F15),1,""))</f>
        <v/>
      </c>
      <c r="U15" s="50" t="str">
        <f>IF(OR($D15="-",$D15=""),"",IF(AND(7&gt;=$E15,7&lt;=$F15),1,""))</f>
        <v/>
      </c>
      <c r="V15" s="50" t="str">
        <f>IF(OR($D15="-",$D15=""),"",IF(AND(8&gt;=$E15,8&lt;=$F15),1,""))</f>
        <v/>
      </c>
      <c r="W15" s="50" t="str">
        <f>IF(OR($D15="-",$D15=""),"",IF(AND(9&gt;=$E15,9&lt;=$F15),1,""))</f>
        <v/>
      </c>
      <c r="X15" s="50" t="str">
        <f>IF(OR($D15="-",$D15=""),"",IF(AND(10&gt;=$E15,10&lt;=$F15),1,""))</f>
        <v/>
      </c>
      <c r="Y15" s="50" t="str">
        <f>IF(OR($D15="-",$D15=""),"",IF(AND(11&gt;=$E15,11&lt;=$F15),1,""))</f>
        <v/>
      </c>
      <c r="Z15" s="50" t="str">
        <f>IF(OR($D15="-",$D15=""),"",IF(AND(12&gt;=$E15,12&lt;=$F15),1,""))</f>
        <v/>
      </c>
    </row>
    <row r="16" spans="1:26" ht="15" customHeight="1" x14ac:dyDescent="0.3">
      <c r="A16" s="47"/>
      <c r="B16" s="47" t="s">
        <v>377</v>
      </c>
      <c r="C16" s="47" t="s">
        <v>378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" customHeight="1" x14ac:dyDescent="0.3">
      <c r="A17" t="s">
        <v>97</v>
      </c>
      <c r="B17" t="s">
        <v>201</v>
      </c>
      <c r="C17" t="s">
        <v>379</v>
      </c>
      <c r="D17" s="43">
        <f>ROUND(4*'2-Mon Projet'!$D$44*'2-Mon Projet'!$D$46,0)</f>
        <v>5</v>
      </c>
      <c r="E17" s="43">
        <v>-2</v>
      </c>
      <c r="F17" s="43">
        <f>IF(OR($D17="-",$D17=""),"",$E17+ROUND($D17/4,0))</f>
        <v>-1</v>
      </c>
      <c r="G17" s="48" t="str">
        <f>IFERROR(IF(VLOOKUP($A17,'5-PERT'!$A$4:$K$26,11,FALSE())="CRITIQUE","OUI","Non"),"Non")</f>
        <v>Non</v>
      </c>
      <c r="H17" s="50" t="str">
        <f>IF(OR($D17="-",$D17=""),"",IF(AND(-6&gt;=$E17,-6&lt;=$F17),1,""))</f>
        <v/>
      </c>
      <c r="I17" s="50" t="str">
        <f>IF(OR($D17="-",$D17=""),"",IF(AND(-5&gt;=$E17,-5&lt;=$F17),1,""))</f>
        <v/>
      </c>
      <c r="J17" s="50" t="str">
        <f>IF(OR($D17="-",$D17=""),"",IF(AND(-4&gt;=$E17,-4&lt;=$F17),1,""))</f>
        <v/>
      </c>
      <c r="K17" s="50" t="str">
        <f>IF(OR($D17="-",$D17=""),"",IF(AND(-3&gt;=$E17,-3&lt;=$F17),1,""))</f>
        <v/>
      </c>
      <c r="L17" s="52">
        <f>IF(OR($D17="-",$D17=""),"",IF(AND(-2&gt;=$E17,-2&lt;=$F17),1,""))</f>
        <v>1</v>
      </c>
      <c r="M17" s="52">
        <f>IF(OR($D17="-",$D17=""),"",IF(AND(-1&gt;=$E17,-1&lt;=$F17),1,""))</f>
        <v>1</v>
      </c>
      <c r="N17" s="50" t="str">
        <f>IF(OR($D17="-",$D17=""),"",IF(AND(0&gt;=$E17,0&lt;=$F17),1,""))</f>
        <v/>
      </c>
      <c r="O17" s="50" t="str">
        <f>IF(OR($D17="-",$D17=""),"",IF(AND(1&gt;=$E17,1&lt;=$F17),1,""))</f>
        <v/>
      </c>
      <c r="P17" s="50" t="str">
        <f>IF(OR($D17="-",$D17=""),"",IF(AND(2&gt;=$E17,2&lt;=$F17),1,""))</f>
        <v/>
      </c>
      <c r="Q17" s="50" t="str">
        <f>IF(OR($D17="-",$D17=""),"",IF(AND(3&gt;=$E17,3&lt;=$F17),1,""))</f>
        <v/>
      </c>
      <c r="R17" s="50" t="str">
        <f>IF(OR($D17="-",$D17=""),"",IF(AND(4&gt;=$E17,4&lt;=$F17),1,""))</f>
        <v/>
      </c>
      <c r="S17" s="50" t="str">
        <f>IF(OR($D17="-",$D17=""),"",IF(AND(5&gt;=$E17,5&lt;=$F17),1,""))</f>
        <v/>
      </c>
      <c r="T17" s="50" t="str">
        <f>IF(OR($D17="-",$D17=""),"",IF(AND(6&gt;=$E17,6&lt;=$F17),1,""))</f>
        <v/>
      </c>
      <c r="U17" s="50" t="str">
        <f>IF(OR($D17="-",$D17=""),"",IF(AND(7&gt;=$E17,7&lt;=$F17),1,""))</f>
        <v/>
      </c>
      <c r="V17" s="50" t="str">
        <f>IF(OR($D17="-",$D17=""),"",IF(AND(8&gt;=$E17,8&lt;=$F17),1,""))</f>
        <v/>
      </c>
      <c r="W17" s="50" t="str">
        <f>IF(OR($D17="-",$D17=""),"",IF(AND(9&gt;=$E17,9&lt;=$F17),1,""))</f>
        <v/>
      </c>
      <c r="X17" s="50" t="str">
        <f>IF(OR($D17="-",$D17=""),"",IF(AND(10&gt;=$E17,10&lt;=$F17),1,""))</f>
        <v/>
      </c>
      <c r="Y17" s="50" t="str">
        <f>IF(OR($D17="-",$D17=""),"",IF(AND(11&gt;=$E17,11&lt;=$F17),1,""))</f>
        <v/>
      </c>
      <c r="Z17" s="50" t="str">
        <f>IF(OR($D17="-",$D17=""),"",IF(AND(12&gt;=$E17,12&lt;=$F17),1,""))</f>
        <v/>
      </c>
    </row>
    <row r="18" spans="1:26" ht="15" customHeight="1" x14ac:dyDescent="0.3">
      <c r="A18" t="s">
        <v>100</v>
      </c>
      <c r="B18" t="s">
        <v>201</v>
      </c>
      <c r="C18" t="s">
        <v>101</v>
      </c>
      <c r="D18" s="43">
        <f>ROUND(3*'2-Mon Projet'!$D$46,0)</f>
        <v>4</v>
      </c>
      <c r="E18" s="43">
        <v>-1</v>
      </c>
      <c r="F18" s="43">
        <f>IF(OR($D18="-",$D18=""),"",$E18+ROUND($D18/4,0))</f>
        <v>0</v>
      </c>
      <c r="G18" s="48" t="str">
        <f>IFERROR(IF(VLOOKUP($A18,'5-PERT'!$A$4:$K$26,11,FALSE())="CRITIQUE","OUI","Non"),"Non")</f>
        <v>Non</v>
      </c>
      <c r="H18" s="50" t="str">
        <f>IF(OR($D18="-",$D18=""),"",IF(AND(-6&gt;=$E18,-6&lt;=$F18),1,""))</f>
        <v/>
      </c>
      <c r="I18" s="50" t="str">
        <f>IF(OR($D18="-",$D18=""),"",IF(AND(-5&gt;=$E18,-5&lt;=$F18),1,""))</f>
        <v/>
      </c>
      <c r="J18" s="50" t="str">
        <f>IF(OR($D18="-",$D18=""),"",IF(AND(-4&gt;=$E18,-4&lt;=$F18),1,""))</f>
        <v/>
      </c>
      <c r="K18" s="50" t="str">
        <f>IF(OR($D18="-",$D18=""),"",IF(AND(-3&gt;=$E18,-3&lt;=$F18),1,""))</f>
        <v/>
      </c>
      <c r="L18" s="50" t="str">
        <f>IF(OR($D18="-",$D18=""),"",IF(AND(-2&gt;=$E18,-2&lt;=$F18),1,""))</f>
        <v/>
      </c>
      <c r="M18" s="52">
        <f>IF(OR($D18="-",$D18=""),"",IF(AND(-1&gt;=$E18,-1&lt;=$F18),1,""))</f>
        <v>1</v>
      </c>
      <c r="N18" s="52">
        <f>IF(OR($D18="-",$D18=""),"",IF(AND(0&gt;=$E18,0&lt;=$F18),1,""))</f>
        <v>1</v>
      </c>
      <c r="O18" s="50" t="str">
        <f>IF(OR($D18="-",$D18=""),"",IF(AND(1&gt;=$E18,1&lt;=$F18),1,""))</f>
        <v/>
      </c>
      <c r="P18" s="50" t="str">
        <f>IF(OR($D18="-",$D18=""),"",IF(AND(2&gt;=$E18,2&lt;=$F18),1,""))</f>
        <v/>
      </c>
      <c r="Q18" s="50" t="str">
        <f>IF(OR($D18="-",$D18=""),"",IF(AND(3&gt;=$E18,3&lt;=$F18),1,""))</f>
        <v/>
      </c>
      <c r="R18" s="50" t="str">
        <f>IF(OR($D18="-",$D18=""),"",IF(AND(4&gt;=$E18,4&lt;=$F18),1,""))</f>
        <v/>
      </c>
      <c r="S18" s="50" t="str">
        <f>IF(OR($D18="-",$D18=""),"",IF(AND(5&gt;=$E18,5&lt;=$F18),1,""))</f>
        <v/>
      </c>
      <c r="T18" s="50" t="str">
        <f>IF(OR($D18="-",$D18=""),"",IF(AND(6&gt;=$E18,6&lt;=$F18),1,""))</f>
        <v/>
      </c>
      <c r="U18" s="50" t="str">
        <f>IF(OR($D18="-",$D18=""),"",IF(AND(7&gt;=$E18,7&lt;=$F18),1,""))</f>
        <v/>
      </c>
      <c r="V18" s="50" t="str">
        <f>IF(OR($D18="-",$D18=""),"",IF(AND(8&gt;=$E18,8&lt;=$F18),1,""))</f>
        <v/>
      </c>
      <c r="W18" s="50" t="str">
        <f>IF(OR($D18="-",$D18=""),"",IF(AND(9&gt;=$E18,9&lt;=$F18),1,""))</f>
        <v/>
      </c>
      <c r="X18" s="50" t="str">
        <f>IF(OR($D18="-",$D18=""),"",IF(AND(10&gt;=$E18,10&lt;=$F18),1,""))</f>
        <v/>
      </c>
      <c r="Y18" s="50" t="str">
        <f>IF(OR($D18="-",$D18=""),"",IF(AND(11&gt;=$E18,11&lt;=$F18),1,""))</f>
        <v/>
      </c>
      <c r="Z18" s="50" t="str">
        <f>IF(OR($D18="-",$D18=""),"",IF(AND(12&gt;=$E18,12&lt;=$F18),1,""))</f>
        <v/>
      </c>
    </row>
    <row r="19" spans="1:26" ht="15" customHeight="1" x14ac:dyDescent="0.3">
      <c r="A19" t="s">
        <v>103</v>
      </c>
      <c r="B19" t="s">
        <v>201</v>
      </c>
      <c r="C19" t="s">
        <v>104</v>
      </c>
      <c r="D19" s="43">
        <f>ROUND(2*'2-Mon Projet'!$D$46,0)</f>
        <v>3</v>
      </c>
      <c r="E19" s="43">
        <v>-1</v>
      </c>
      <c r="F19" s="43">
        <f>IF(OR($D19="-",$D19=""),"",$E19+ROUND($D19/4,0))</f>
        <v>0</v>
      </c>
      <c r="G19" s="48" t="str">
        <f>IFERROR(IF(VLOOKUP($A19,'5-PERT'!$A$4:$K$26,11,FALSE())="CRITIQUE","OUI","Non"),"Non")</f>
        <v>Non</v>
      </c>
      <c r="H19" s="50" t="str">
        <f>IF(OR($D19="-",$D19=""),"",IF(AND(-6&gt;=$E19,-6&lt;=$F19),1,""))</f>
        <v/>
      </c>
      <c r="I19" s="50" t="str">
        <f>IF(OR($D19="-",$D19=""),"",IF(AND(-5&gt;=$E19,-5&lt;=$F19),1,""))</f>
        <v/>
      </c>
      <c r="J19" s="50" t="str">
        <f>IF(OR($D19="-",$D19=""),"",IF(AND(-4&gt;=$E19,-4&lt;=$F19),1,""))</f>
        <v/>
      </c>
      <c r="K19" s="50" t="str">
        <f>IF(OR($D19="-",$D19=""),"",IF(AND(-3&gt;=$E19,-3&lt;=$F19),1,""))</f>
        <v/>
      </c>
      <c r="L19" s="50" t="str">
        <f>IF(OR($D19="-",$D19=""),"",IF(AND(-2&gt;=$E19,-2&lt;=$F19),1,""))</f>
        <v/>
      </c>
      <c r="M19" s="52">
        <f>IF(OR($D19="-",$D19=""),"",IF(AND(-1&gt;=$E19,-1&lt;=$F19),1,""))</f>
        <v>1</v>
      </c>
      <c r="N19" s="52">
        <f>IF(OR($D19="-",$D19=""),"",IF(AND(0&gt;=$E19,0&lt;=$F19),1,""))</f>
        <v>1</v>
      </c>
      <c r="O19" s="50" t="str">
        <f>IF(OR($D19="-",$D19=""),"",IF(AND(1&gt;=$E19,1&lt;=$F19),1,""))</f>
        <v/>
      </c>
      <c r="P19" s="50" t="str">
        <f>IF(OR($D19="-",$D19=""),"",IF(AND(2&gt;=$E19,2&lt;=$F19),1,""))</f>
        <v/>
      </c>
      <c r="Q19" s="50" t="str">
        <f>IF(OR($D19="-",$D19=""),"",IF(AND(3&gt;=$E19,3&lt;=$F19),1,""))</f>
        <v/>
      </c>
      <c r="R19" s="50" t="str">
        <f>IF(OR($D19="-",$D19=""),"",IF(AND(4&gt;=$E19,4&lt;=$F19),1,""))</f>
        <v/>
      </c>
      <c r="S19" s="50" t="str">
        <f>IF(OR($D19="-",$D19=""),"",IF(AND(5&gt;=$E19,5&lt;=$F19),1,""))</f>
        <v/>
      </c>
      <c r="T19" s="50" t="str">
        <f>IF(OR($D19="-",$D19=""),"",IF(AND(6&gt;=$E19,6&lt;=$F19),1,""))</f>
        <v/>
      </c>
      <c r="U19" s="50" t="str">
        <f>IF(OR($D19="-",$D19=""),"",IF(AND(7&gt;=$E19,7&lt;=$F19),1,""))</f>
        <v/>
      </c>
      <c r="V19" s="50" t="str">
        <f>IF(OR($D19="-",$D19=""),"",IF(AND(8&gt;=$E19,8&lt;=$F19),1,""))</f>
        <v/>
      </c>
      <c r="W19" s="50" t="str">
        <f>IF(OR($D19="-",$D19=""),"",IF(AND(9&gt;=$E19,9&lt;=$F19),1,""))</f>
        <v/>
      </c>
      <c r="X19" s="50" t="str">
        <f>IF(OR($D19="-",$D19=""),"",IF(AND(10&gt;=$E19,10&lt;=$F19),1,""))</f>
        <v/>
      </c>
      <c r="Y19" s="50" t="str">
        <f>IF(OR($D19="-",$D19=""),"",IF(AND(11&gt;=$E19,11&lt;=$F19),1,""))</f>
        <v/>
      </c>
      <c r="Z19" s="50" t="str">
        <f>IF(OR($D19="-",$D19=""),"",IF(AND(12&gt;=$E19,12&lt;=$F19),1,""))</f>
        <v/>
      </c>
    </row>
    <row r="20" spans="1:26" ht="15" customHeight="1" x14ac:dyDescent="0.3">
      <c r="A20" t="s">
        <v>106</v>
      </c>
      <c r="B20" t="s">
        <v>201</v>
      </c>
      <c r="C20" t="s">
        <v>380</v>
      </c>
      <c r="D20" s="43">
        <f>ROUND(4*'2-Mon Projet'!$D$46,0)</f>
        <v>5</v>
      </c>
      <c r="E20" s="43">
        <v>0</v>
      </c>
      <c r="F20" s="43">
        <f>IF(OR($D20="-",$D20=""),"",$E20+ROUND($D20/4,0))</f>
        <v>1</v>
      </c>
      <c r="G20" s="48" t="str">
        <f>IFERROR(IF(VLOOKUP($A20,'5-PERT'!$A$4:$K$26,11,FALSE())="CRITIQUE","OUI","Non"),"Non")</f>
        <v>OUI</v>
      </c>
      <c r="H20" s="50" t="str">
        <f>IF(OR($D20="-",$D20=""),"",IF(AND(-6&gt;=$E20,-6&lt;=$F20),1,""))</f>
        <v/>
      </c>
      <c r="I20" s="50" t="str">
        <f>IF(OR($D20="-",$D20=""),"",IF(AND(-5&gt;=$E20,-5&lt;=$F20),1,""))</f>
        <v/>
      </c>
      <c r="J20" s="50" t="str">
        <f>IF(OR($D20="-",$D20=""),"",IF(AND(-4&gt;=$E20,-4&lt;=$F20),1,""))</f>
        <v/>
      </c>
      <c r="K20" s="50" t="str">
        <f>IF(OR($D20="-",$D20=""),"",IF(AND(-3&gt;=$E20,-3&lt;=$F20),1,""))</f>
        <v/>
      </c>
      <c r="L20" s="50" t="str">
        <f>IF(OR($D20="-",$D20=""),"",IF(AND(-2&gt;=$E20,-2&lt;=$F20),1,""))</f>
        <v/>
      </c>
      <c r="M20" s="50" t="str">
        <f>IF(OR($D20="-",$D20=""),"",IF(AND(-1&gt;=$E20,-1&lt;=$F20),1,""))</f>
        <v/>
      </c>
      <c r="N20" s="52">
        <f>IF(OR($D20="-",$D20=""),"",IF(AND(0&gt;=$E20,0&lt;=$F20),1,""))</f>
        <v>1</v>
      </c>
      <c r="O20" s="52">
        <f>IF(OR($D20="-",$D20=""),"",IF(AND(1&gt;=$E20,1&lt;=$F20),1,""))</f>
        <v>1</v>
      </c>
      <c r="P20" s="50" t="str">
        <f>IF(OR($D20="-",$D20=""),"",IF(AND(2&gt;=$E20,2&lt;=$F20),1,""))</f>
        <v/>
      </c>
      <c r="Q20" s="50" t="str">
        <f>IF(OR($D20="-",$D20=""),"",IF(AND(3&gt;=$E20,3&lt;=$F20),1,""))</f>
        <v/>
      </c>
      <c r="R20" s="50" t="str">
        <f>IF(OR($D20="-",$D20=""),"",IF(AND(4&gt;=$E20,4&lt;=$F20),1,""))</f>
        <v/>
      </c>
      <c r="S20" s="50" t="str">
        <f>IF(OR($D20="-",$D20=""),"",IF(AND(5&gt;=$E20,5&lt;=$F20),1,""))</f>
        <v/>
      </c>
      <c r="T20" s="50" t="str">
        <f>IF(OR($D20="-",$D20=""),"",IF(AND(6&gt;=$E20,6&lt;=$F20),1,""))</f>
        <v/>
      </c>
      <c r="U20" s="50" t="str">
        <f>IF(OR($D20="-",$D20=""),"",IF(AND(7&gt;=$E20,7&lt;=$F20),1,""))</f>
        <v/>
      </c>
      <c r="V20" s="50" t="str">
        <f>IF(OR($D20="-",$D20=""),"",IF(AND(8&gt;=$E20,8&lt;=$F20),1,""))</f>
        <v/>
      </c>
      <c r="W20" s="50" t="str">
        <f>IF(OR($D20="-",$D20=""),"",IF(AND(9&gt;=$E20,9&lt;=$F20),1,""))</f>
        <v/>
      </c>
      <c r="X20" s="50" t="str">
        <f>IF(OR($D20="-",$D20=""),"",IF(AND(10&gt;=$E20,10&lt;=$F20),1,""))</f>
        <v/>
      </c>
      <c r="Y20" s="50" t="str">
        <f>IF(OR($D20="-",$D20=""),"",IF(AND(11&gt;=$E20,11&lt;=$F20),1,""))</f>
        <v/>
      </c>
      <c r="Z20" s="50" t="str">
        <f>IF(OR($D20="-",$D20=""),"",IF(AND(12&gt;=$E20,12&lt;=$F20),1,""))</f>
        <v/>
      </c>
    </row>
    <row r="21" spans="1:26" ht="15" customHeight="1" x14ac:dyDescent="0.3">
      <c r="A21" s="47"/>
      <c r="B21" s="47" t="s">
        <v>381</v>
      </c>
      <c r="C21" s="47" t="s">
        <v>382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" customHeight="1" x14ac:dyDescent="0.3">
      <c r="A22" t="s">
        <v>109</v>
      </c>
      <c r="B22" t="s">
        <v>203</v>
      </c>
      <c r="C22" t="s">
        <v>110</v>
      </c>
      <c r="D22" s="43">
        <f>4</f>
        <v>4</v>
      </c>
      <c r="E22" s="43">
        <v>0</v>
      </c>
      <c r="F22" s="43">
        <f>IF(OR($D22="-",$D22=""),"",$E22+ROUND($D22/4,0))</f>
        <v>1</v>
      </c>
      <c r="G22" s="48" t="str">
        <f>IFERROR(IF(VLOOKUP($A22,'5-PERT'!$A$4:$K$26,11,FALSE())="CRITIQUE","OUI","Non"),"Non")</f>
        <v>Non</v>
      </c>
      <c r="H22" s="50" t="str">
        <f>IF(OR($D22="-",$D22=""),"",IF(AND(-6&gt;=$E22,-6&lt;=$F22),1,""))</f>
        <v/>
      </c>
      <c r="I22" s="50" t="str">
        <f>IF(OR($D22="-",$D22=""),"",IF(AND(-5&gt;=$E22,-5&lt;=$F22),1,""))</f>
        <v/>
      </c>
      <c r="J22" s="50" t="str">
        <f>IF(OR($D22="-",$D22=""),"",IF(AND(-4&gt;=$E22,-4&lt;=$F22),1,""))</f>
        <v/>
      </c>
      <c r="K22" s="50" t="str">
        <f>IF(OR($D22="-",$D22=""),"",IF(AND(-3&gt;=$E22,-3&lt;=$F22),1,""))</f>
        <v/>
      </c>
      <c r="L22" s="50" t="str">
        <f>IF(OR($D22="-",$D22=""),"",IF(AND(-2&gt;=$E22,-2&lt;=$F22),1,""))</f>
        <v/>
      </c>
      <c r="M22" s="50" t="str">
        <f>IF(OR($D22="-",$D22=""),"",IF(AND(-1&gt;=$E22,-1&lt;=$F22),1,""))</f>
        <v/>
      </c>
      <c r="N22" s="53">
        <f>IF(OR($D22="-",$D22=""),"",IF(AND(0&gt;=$E22,0&lt;=$F22),1,""))</f>
        <v>1</v>
      </c>
      <c r="O22" s="53">
        <f>IF(OR($D22="-",$D22=""),"",IF(AND(1&gt;=$E22,1&lt;=$F22),1,""))</f>
        <v>1</v>
      </c>
      <c r="P22" s="50" t="str">
        <f>IF(OR($D22="-",$D22=""),"",IF(AND(2&gt;=$E22,2&lt;=$F22),1,""))</f>
        <v/>
      </c>
      <c r="Q22" s="50" t="str">
        <f>IF(OR($D22="-",$D22=""),"",IF(AND(3&gt;=$E22,3&lt;=$F22),1,""))</f>
        <v/>
      </c>
      <c r="R22" s="50" t="str">
        <f>IF(OR($D22="-",$D22=""),"",IF(AND(4&gt;=$E22,4&lt;=$F22),1,""))</f>
        <v/>
      </c>
      <c r="S22" s="50" t="str">
        <f>IF(OR($D22="-",$D22=""),"",IF(AND(5&gt;=$E22,5&lt;=$F22),1,""))</f>
        <v/>
      </c>
      <c r="T22" s="50" t="str">
        <f>IF(OR($D22="-",$D22=""),"",IF(AND(6&gt;=$E22,6&lt;=$F22),1,""))</f>
        <v/>
      </c>
      <c r="U22" s="50" t="str">
        <f>IF(OR($D22="-",$D22=""),"",IF(AND(7&gt;=$E22,7&lt;=$F22),1,""))</f>
        <v/>
      </c>
      <c r="V22" s="50" t="str">
        <f>IF(OR($D22="-",$D22=""),"",IF(AND(8&gt;=$E22,8&lt;=$F22),1,""))</f>
        <v/>
      </c>
      <c r="W22" s="50" t="str">
        <f>IF(OR($D22="-",$D22=""),"",IF(AND(9&gt;=$E22,9&lt;=$F22),1,""))</f>
        <v/>
      </c>
      <c r="X22" s="50" t="str">
        <f>IF(OR($D22="-",$D22=""),"",IF(AND(10&gt;=$E22,10&lt;=$F22),1,""))</f>
        <v/>
      </c>
      <c r="Y22" s="50" t="str">
        <f>IF(OR($D22="-",$D22=""),"",IF(AND(11&gt;=$E22,11&lt;=$F22),1,""))</f>
        <v/>
      </c>
      <c r="Z22" s="50" t="str">
        <f>IF(OR($D22="-",$D22=""),"",IF(AND(12&gt;=$E22,12&lt;=$F22),1,""))</f>
        <v/>
      </c>
    </row>
    <row r="23" spans="1:26" ht="15" customHeight="1" x14ac:dyDescent="0.3">
      <c r="A23" t="s">
        <v>112</v>
      </c>
      <c r="B23" t="s">
        <v>203</v>
      </c>
      <c r="C23" t="s">
        <v>383</v>
      </c>
      <c r="D23" s="43">
        <f>8</f>
        <v>8</v>
      </c>
      <c r="E23" s="43">
        <v>1</v>
      </c>
      <c r="F23" s="43">
        <f>IF(OR($D23="-",$D23=""),"",$E23+ROUND($D23/4,0))</f>
        <v>3</v>
      </c>
      <c r="G23" s="48" t="str">
        <f>IFERROR(IF(VLOOKUP($A23,'5-PERT'!$A$4:$K$26,11,FALSE())="CRITIQUE","OUI","Non"),"Non")</f>
        <v>OUI</v>
      </c>
      <c r="H23" s="50" t="str">
        <f>IF(OR($D23="-",$D23=""),"",IF(AND(-6&gt;=$E23,-6&lt;=$F23),1,""))</f>
        <v/>
      </c>
      <c r="I23" s="50" t="str">
        <f>IF(OR($D23="-",$D23=""),"",IF(AND(-5&gt;=$E23,-5&lt;=$F23),1,""))</f>
        <v/>
      </c>
      <c r="J23" s="50" t="str">
        <f>IF(OR($D23="-",$D23=""),"",IF(AND(-4&gt;=$E23,-4&lt;=$F23),1,""))</f>
        <v/>
      </c>
      <c r="K23" s="50" t="str">
        <f>IF(OR($D23="-",$D23=""),"",IF(AND(-3&gt;=$E23,-3&lt;=$F23),1,""))</f>
        <v/>
      </c>
      <c r="L23" s="50" t="str">
        <f>IF(OR($D23="-",$D23=""),"",IF(AND(-2&gt;=$E23,-2&lt;=$F23),1,""))</f>
        <v/>
      </c>
      <c r="M23" s="50" t="str">
        <f>IF(OR($D23="-",$D23=""),"",IF(AND(-1&gt;=$E23,-1&lt;=$F23),1,""))</f>
        <v/>
      </c>
      <c r="N23" s="50" t="str">
        <f>IF(OR($D23="-",$D23=""),"",IF(AND(0&gt;=$E23,0&lt;=$F23),1,""))</f>
        <v/>
      </c>
      <c r="O23" s="53">
        <f>IF(OR($D23="-",$D23=""),"",IF(AND(1&gt;=$E23,1&lt;=$F23),1,""))</f>
        <v>1</v>
      </c>
      <c r="P23" s="53">
        <f>IF(OR($D23="-",$D23=""),"",IF(AND(2&gt;=$E23,2&lt;=$F23),1,""))</f>
        <v>1</v>
      </c>
      <c r="Q23" s="53">
        <f>IF(OR($D23="-",$D23=""),"",IF(AND(3&gt;=$E23,3&lt;=$F23),1,""))</f>
        <v>1</v>
      </c>
      <c r="R23" s="50" t="str">
        <f>IF(OR($D23="-",$D23=""),"",IF(AND(4&gt;=$E23,4&lt;=$F23),1,""))</f>
        <v/>
      </c>
      <c r="S23" s="50" t="str">
        <f>IF(OR($D23="-",$D23=""),"",IF(AND(5&gt;=$E23,5&lt;=$F23),1,""))</f>
        <v/>
      </c>
      <c r="T23" s="50" t="str">
        <f>IF(OR($D23="-",$D23=""),"",IF(AND(6&gt;=$E23,6&lt;=$F23),1,""))</f>
        <v/>
      </c>
      <c r="U23" s="50" t="str">
        <f>IF(OR($D23="-",$D23=""),"",IF(AND(7&gt;=$E23,7&lt;=$F23),1,""))</f>
        <v/>
      </c>
      <c r="V23" s="50" t="str">
        <f>IF(OR($D23="-",$D23=""),"",IF(AND(8&gt;=$E23,8&lt;=$F23),1,""))</f>
        <v/>
      </c>
      <c r="W23" s="50" t="str">
        <f>IF(OR($D23="-",$D23=""),"",IF(AND(9&gt;=$E23,9&lt;=$F23),1,""))</f>
        <v/>
      </c>
      <c r="X23" s="50" t="str">
        <f>IF(OR($D23="-",$D23=""),"",IF(AND(10&gt;=$E23,10&lt;=$F23),1,""))</f>
        <v/>
      </c>
      <c r="Y23" s="50" t="str">
        <f>IF(OR($D23="-",$D23=""),"",IF(AND(11&gt;=$E23,11&lt;=$F23),1,""))</f>
        <v/>
      </c>
      <c r="Z23" s="50" t="str">
        <f>IF(OR($D23="-",$D23=""),"",IF(AND(12&gt;=$E23,12&lt;=$F23),1,""))</f>
        <v/>
      </c>
    </row>
    <row r="24" spans="1:26" ht="15" customHeight="1" x14ac:dyDescent="0.3">
      <c r="A24" t="s">
        <v>115</v>
      </c>
      <c r="B24" t="s">
        <v>203</v>
      </c>
      <c r="C24" t="s">
        <v>384</v>
      </c>
      <c r="D24" s="43">
        <f>4</f>
        <v>4</v>
      </c>
      <c r="E24" s="43">
        <v>3</v>
      </c>
      <c r="F24" s="43">
        <f>IF(OR($D24="-",$D24=""),"",$E24+ROUND($D24/4,0))</f>
        <v>4</v>
      </c>
      <c r="G24" s="48" t="str">
        <f>IFERROR(IF(VLOOKUP($A24,'5-PERT'!$A$4:$K$26,11,FALSE())="CRITIQUE","OUI","Non"),"Non")</f>
        <v>Non</v>
      </c>
      <c r="H24" s="50" t="str">
        <f>IF(OR($D24="-",$D24=""),"",IF(AND(-6&gt;=$E24,-6&lt;=$F24),1,""))</f>
        <v/>
      </c>
      <c r="I24" s="50" t="str">
        <f>IF(OR($D24="-",$D24=""),"",IF(AND(-5&gt;=$E24,-5&lt;=$F24),1,""))</f>
        <v/>
      </c>
      <c r="J24" s="50" t="str">
        <f>IF(OR($D24="-",$D24=""),"",IF(AND(-4&gt;=$E24,-4&lt;=$F24),1,""))</f>
        <v/>
      </c>
      <c r="K24" s="50" t="str">
        <f>IF(OR($D24="-",$D24=""),"",IF(AND(-3&gt;=$E24,-3&lt;=$F24),1,""))</f>
        <v/>
      </c>
      <c r="L24" s="50" t="str">
        <f>IF(OR($D24="-",$D24=""),"",IF(AND(-2&gt;=$E24,-2&lt;=$F24),1,""))</f>
        <v/>
      </c>
      <c r="M24" s="50" t="str">
        <f>IF(OR($D24="-",$D24=""),"",IF(AND(-1&gt;=$E24,-1&lt;=$F24),1,""))</f>
        <v/>
      </c>
      <c r="N24" s="50" t="str">
        <f>IF(OR($D24="-",$D24=""),"",IF(AND(0&gt;=$E24,0&lt;=$F24),1,""))</f>
        <v/>
      </c>
      <c r="O24" s="50" t="str">
        <f>IF(OR($D24="-",$D24=""),"",IF(AND(1&gt;=$E24,1&lt;=$F24),1,""))</f>
        <v/>
      </c>
      <c r="P24" s="50" t="str">
        <f>IF(OR($D24="-",$D24=""),"",IF(AND(2&gt;=$E24,2&lt;=$F24),1,""))</f>
        <v/>
      </c>
      <c r="Q24" s="53">
        <f>IF(OR($D24="-",$D24=""),"",IF(AND(3&gt;=$E24,3&lt;=$F24),1,""))</f>
        <v>1</v>
      </c>
      <c r="R24" s="53">
        <f>IF(OR($D24="-",$D24=""),"",IF(AND(4&gt;=$E24,4&lt;=$F24),1,""))</f>
        <v>1</v>
      </c>
      <c r="S24" s="50" t="str">
        <f>IF(OR($D24="-",$D24=""),"",IF(AND(5&gt;=$E24,5&lt;=$F24),1,""))</f>
        <v/>
      </c>
      <c r="T24" s="50" t="str">
        <f>IF(OR($D24="-",$D24=""),"",IF(AND(6&gt;=$E24,6&lt;=$F24),1,""))</f>
        <v/>
      </c>
      <c r="U24" s="50" t="str">
        <f>IF(OR($D24="-",$D24=""),"",IF(AND(7&gt;=$E24,7&lt;=$F24),1,""))</f>
        <v/>
      </c>
      <c r="V24" s="50" t="str">
        <f>IF(OR($D24="-",$D24=""),"",IF(AND(8&gt;=$E24,8&lt;=$F24),1,""))</f>
        <v/>
      </c>
      <c r="W24" s="50" t="str">
        <f>IF(OR($D24="-",$D24=""),"",IF(AND(9&gt;=$E24,9&lt;=$F24),1,""))</f>
        <v/>
      </c>
      <c r="X24" s="50" t="str">
        <f>IF(OR($D24="-",$D24=""),"",IF(AND(10&gt;=$E24,10&lt;=$F24),1,""))</f>
        <v/>
      </c>
      <c r="Y24" s="50" t="str">
        <f>IF(OR($D24="-",$D24=""),"",IF(AND(11&gt;=$E24,11&lt;=$F24),1,""))</f>
        <v/>
      </c>
      <c r="Z24" s="50" t="str">
        <f>IF(OR($D24="-",$D24=""),"",IF(AND(12&gt;=$E24,12&lt;=$F24),1,""))</f>
        <v/>
      </c>
    </row>
    <row r="25" spans="1:26" ht="15" customHeight="1" x14ac:dyDescent="0.3">
      <c r="A25" s="47"/>
      <c r="B25" s="47" t="s">
        <v>385</v>
      </c>
      <c r="C25" s="47" t="s">
        <v>386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" customHeight="1" x14ac:dyDescent="0.3">
      <c r="A26" t="s">
        <v>118</v>
      </c>
      <c r="B26" t="s">
        <v>205</v>
      </c>
      <c r="C26" t="s">
        <v>387</v>
      </c>
      <c r="D26" s="43">
        <f>ROUND(12*'2-Mon Projet'!$D$44,0)</f>
        <v>12</v>
      </c>
      <c r="E26" s="43">
        <v>3</v>
      </c>
      <c r="F26" s="43">
        <f>IF(OR($D26="-",$D26=""),"",$E26+ROUND($D26/4,0))</f>
        <v>6</v>
      </c>
      <c r="G26" s="48" t="str">
        <f>IFERROR(IF(VLOOKUP($A26,'5-PERT'!$A$4:$K$26,11,FALSE())="CRITIQUE","OUI","Non"),"Non")</f>
        <v>OUI</v>
      </c>
      <c r="H26" s="50" t="str">
        <f>IF(OR($D26="-",$D26=""),"",IF(AND(-6&gt;=$E26,-6&lt;=$F26),1,""))</f>
        <v/>
      </c>
      <c r="I26" s="50" t="str">
        <f>IF(OR($D26="-",$D26=""),"",IF(AND(-5&gt;=$E26,-5&lt;=$F26),1,""))</f>
        <v/>
      </c>
      <c r="J26" s="50" t="str">
        <f>IF(OR($D26="-",$D26=""),"",IF(AND(-4&gt;=$E26,-4&lt;=$F26),1,""))</f>
        <v/>
      </c>
      <c r="K26" s="50" t="str">
        <f>IF(OR($D26="-",$D26=""),"",IF(AND(-3&gt;=$E26,-3&lt;=$F26),1,""))</f>
        <v/>
      </c>
      <c r="L26" s="50" t="str">
        <f>IF(OR($D26="-",$D26=""),"",IF(AND(-2&gt;=$E26,-2&lt;=$F26),1,""))</f>
        <v/>
      </c>
      <c r="M26" s="50" t="str">
        <f>IF(OR($D26="-",$D26=""),"",IF(AND(-1&gt;=$E26,-1&lt;=$F26),1,""))</f>
        <v/>
      </c>
      <c r="N26" s="50" t="str">
        <f>IF(OR($D26="-",$D26=""),"",IF(AND(0&gt;=$E26,0&lt;=$F26),1,""))</f>
        <v/>
      </c>
      <c r="O26" s="50" t="str">
        <f>IF(OR($D26="-",$D26=""),"",IF(AND(1&gt;=$E26,1&lt;=$F26),1,""))</f>
        <v/>
      </c>
      <c r="P26" s="50" t="str">
        <f>IF(OR($D26="-",$D26=""),"",IF(AND(2&gt;=$E26,2&lt;=$F26),1,""))</f>
        <v/>
      </c>
      <c r="Q26" s="54">
        <f>IF(OR($D26="-",$D26=""),"",IF(AND(3&gt;=$E26,3&lt;=$F26),1,""))</f>
        <v>1</v>
      </c>
      <c r="R26" s="54">
        <f>IF(OR($D26="-",$D26=""),"",IF(AND(4&gt;=$E26,4&lt;=$F26),1,""))</f>
        <v>1</v>
      </c>
      <c r="S26" s="50">
        <f>IF(OR($D26="-",$D26=""),"",IF(AND(5&gt;=$E26,5&lt;=$F26),1,""))</f>
        <v>1</v>
      </c>
      <c r="T26" s="50">
        <f>IF(OR($D26="-",$D26=""),"",IF(AND(6&gt;=$E26,6&lt;=$F26),1,""))</f>
        <v>1</v>
      </c>
      <c r="U26" s="50" t="str">
        <f>IF(OR($D26="-",$D26=""),"",IF(AND(7&gt;=$E26,7&lt;=$F26),1,""))</f>
        <v/>
      </c>
      <c r="V26" s="50" t="str">
        <f>IF(OR($D26="-",$D26=""),"",IF(AND(8&gt;=$E26,8&lt;=$F26),1,""))</f>
        <v/>
      </c>
      <c r="W26" s="50" t="str">
        <f>IF(OR($D26="-",$D26=""),"",IF(AND(9&gt;=$E26,9&lt;=$F26),1,""))</f>
        <v/>
      </c>
      <c r="X26" s="50" t="str">
        <f>IF(OR($D26="-",$D26=""),"",IF(AND(10&gt;=$E26,10&lt;=$F26),1,""))</f>
        <v/>
      </c>
      <c r="Y26" s="50" t="str">
        <f>IF(OR($D26="-",$D26=""),"",IF(AND(11&gt;=$E26,11&lt;=$F26),1,""))</f>
        <v/>
      </c>
      <c r="Z26" s="50" t="str">
        <f>IF(OR($D26="-",$D26=""),"",IF(AND(12&gt;=$E26,12&lt;=$F26),1,""))</f>
        <v/>
      </c>
    </row>
    <row r="27" spans="1:26" ht="15" customHeight="1" x14ac:dyDescent="0.3">
      <c r="A27" t="s">
        <v>121</v>
      </c>
      <c r="B27" t="s">
        <v>205</v>
      </c>
      <c r="C27" t="s">
        <v>388</v>
      </c>
      <c r="D27" s="43">
        <f>ROUND(4*'2-Mon Projet'!$D$46,0)</f>
        <v>5</v>
      </c>
      <c r="E27" s="43">
        <v>4</v>
      </c>
      <c r="F27" s="43">
        <f>IF(OR($D27="-",$D27=""),"",$E27+ROUND($D27/4,0))</f>
        <v>5</v>
      </c>
      <c r="G27" s="48" t="str">
        <f>IFERROR(IF(VLOOKUP($A27,'5-PERT'!$A$4:$K$26,11,FALSE())="CRITIQUE","OUI","Non"),"Non")</f>
        <v>Non</v>
      </c>
      <c r="H27" s="50" t="str">
        <f>IF(OR($D27="-",$D27=""),"",IF(AND(-6&gt;=$E27,-6&lt;=$F27),1,""))</f>
        <v/>
      </c>
      <c r="I27" s="50" t="str">
        <f>IF(OR($D27="-",$D27=""),"",IF(AND(-5&gt;=$E27,-5&lt;=$F27),1,""))</f>
        <v/>
      </c>
      <c r="J27" s="50" t="str">
        <f>IF(OR($D27="-",$D27=""),"",IF(AND(-4&gt;=$E27,-4&lt;=$F27),1,""))</f>
        <v/>
      </c>
      <c r="K27" s="50" t="str">
        <f>IF(OR($D27="-",$D27=""),"",IF(AND(-3&gt;=$E27,-3&lt;=$F27),1,""))</f>
        <v/>
      </c>
      <c r="L27" s="50" t="str">
        <f>IF(OR($D27="-",$D27=""),"",IF(AND(-2&gt;=$E27,-2&lt;=$F27),1,""))</f>
        <v/>
      </c>
      <c r="M27" s="50" t="str">
        <f>IF(OR($D27="-",$D27=""),"",IF(AND(-1&gt;=$E27,-1&lt;=$F27),1,""))</f>
        <v/>
      </c>
      <c r="N27" s="50" t="str">
        <f>IF(OR($D27="-",$D27=""),"",IF(AND(0&gt;=$E27,0&lt;=$F27),1,""))</f>
        <v/>
      </c>
      <c r="O27" s="50" t="str">
        <f>IF(OR($D27="-",$D27=""),"",IF(AND(1&gt;=$E27,1&lt;=$F27),1,""))</f>
        <v/>
      </c>
      <c r="P27" s="50" t="str">
        <f>IF(OR($D27="-",$D27=""),"",IF(AND(2&gt;=$E27,2&lt;=$F27),1,""))</f>
        <v/>
      </c>
      <c r="Q27" s="50" t="str">
        <f>IF(OR($D27="-",$D27=""),"",IF(AND(3&gt;=$E27,3&lt;=$F27),1,""))</f>
        <v/>
      </c>
      <c r="R27" s="54">
        <f>IF(OR($D27="-",$D27=""),"",IF(AND(4&gt;=$E27,4&lt;=$F27),1,""))</f>
        <v>1</v>
      </c>
      <c r="S27" s="54">
        <f>IF(OR($D27="-",$D27=""),"",IF(AND(5&gt;=$E27,5&lt;=$F27),1,""))</f>
        <v>1</v>
      </c>
      <c r="T27" s="50" t="str">
        <f>IF(OR($D27="-",$D27=""),"",IF(AND(6&gt;=$E27,6&lt;=$F27),1,""))</f>
        <v/>
      </c>
      <c r="U27" s="50" t="str">
        <f>IF(OR($D27="-",$D27=""),"",IF(AND(7&gt;=$E27,7&lt;=$F27),1,""))</f>
        <v/>
      </c>
      <c r="V27" s="50" t="str">
        <f>IF(OR($D27="-",$D27=""),"",IF(AND(8&gt;=$E27,8&lt;=$F27),1,""))</f>
        <v/>
      </c>
      <c r="W27" s="50" t="str">
        <f>IF(OR($D27="-",$D27=""),"",IF(AND(9&gt;=$E27,9&lt;=$F27),1,""))</f>
        <v/>
      </c>
      <c r="X27" s="50" t="str">
        <f>IF(OR($D27="-",$D27=""),"",IF(AND(10&gt;=$E27,10&lt;=$F27),1,""))</f>
        <v/>
      </c>
      <c r="Y27" s="50" t="str">
        <f>IF(OR($D27="-",$D27=""),"",IF(AND(11&gt;=$E27,11&lt;=$F27),1,""))</f>
        <v/>
      </c>
      <c r="Z27" s="50" t="str">
        <f>IF(OR($D27="-",$D27=""),"",IF(AND(12&gt;=$E27,12&lt;=$F27),1,""))</f>
        <v/>
      </c>
    </row>
    <row r="28" spans="1:26" ht="15" customHeight="1" x14ac:dyDescent="0.3">
      <c r="A28" t="s">
        <v>124</v>
      </c>
      <c r="B28" t="s">
        <v>205</v>
      </c>
      <c r="C28" t="s">
        <v>389</v>
      </c>
      <c r="D28" s="43">
        <f>2</f>
        <v>2</v>
      </c>
      <c r="E28" s="43">
        <v>4</v>
      </c>
      <c r="F28" s="43">
        <f>IF(OR($D28="-",$D28=""),"",$E28+ROUND($D28/4,0))</f>
        <v>5</v>
      </c>
      <c r="G28" s="48" t="str">
        <f>IFERROR(IF(VLOOKUP($A28,'5-PERT'!$A$4:$K$26,11,FALSE())="CRITIQUE","OUI","Non"),"Non")</f>
        <v>Non</v>
      </c>
      <c r="H28" s="50" t="str">
        <f>IF(OR($D28="-",$D28=""),"",IF(AND(-6&gt;=$E28,-6&lt;=$F28),1,""))</f>
        <v/>
      </c>
      <c r="I28" s="50" t="str">
        <f>IF(OR($D28="-",$D28=""),"",IF(AND(-5&gt;=$E28,-5&lt;=$F28),1,""))</f>
        <v/>
      </c>
      <c r="J28" s="50" t="str">
        <f>IF(OR($D28="-",$D28=""),"",IF(AND(-4&gt;=$E28,-4&lt;=$F28),1,""))</f>
        <v/>
      </c>
      <c r="K28" s="50" t="str">
        <f>IF(OR($D28="-",$D28=""),"",IF(AND(-3&gt;=$E28,-3&lt;=$F28),1,""))</f>
        <v/>
      </c>
      <c r="L28" s="50" t="str">
        <f>IF(OR($D28="-",$D28=""),"",IF(AND(-2&gt;=$E28,-2&lt;=$F28),1,""))</f>
        <v/>
      </c>
      <c r="M28" s="50" t="str">
        <f>IF(OR($D28="-",$D28=""),"",IF(AND(-1&gt;=$E28,-1&lt;=$F28),1,""))</f>
        <v/>
      </c>
      <c r="N28" s="50" t="str">
        <f>IF(OR($D28="-",$D28=""),"",IF(AND(0&gt;=$E28,0&lt;=$F28),1,""))</f>
        <v/>
      </c>
      <c r="O28" s="50" t="str">
        <f>IF(OR($D28="-",$D28=""),"",IF(AND(1&gt;=$E28,1&lt;=$F28),1,""))</f>
        <v/>
      </c>
      <c r="P28" s="50" t="str">
        <f>IF(OR($D28="-",$D28=""),"",IF(AND(2&gt;=$E28,2&lt;=$F28),1,""))</f>
        <v/>
      </c>
      <c r="Q28" s="50" t="str">
        <f>IF(OR($D28="-",$D28=""),"",IF(AND(3&gt;=$E28,3&lt;=$F28),1,""))</f>
        <v/>
      </c>
      <c r="R28" s="54">
        <f>IF(OR($D28="-",$D28=""),"",IF(AND(4&gt;=$E28,4&lt;=$F28),1,""))</f>
        <v>1</v>
      </c>
      <c r="S28" s="54">
        <f>IF(OR($D28="-",$D28=""),"",IF(AND(5&gt;=$E28,5&lt;=$F28),1,""))</f>
        <v>1</v>
      </c>
      <c r="T28" s="50" t="str">
        <f>IF(OR($D28="-",$D28=""),"",IF(AND(6&gt;=$E28,6&lt;=$F28),1,""))</f>
        <v/>
      </c>
      <c r="U28" s="50" t="str">
        <f>IF(OR($D28="-",$D28=""),"",IF(AND(7&gt;=$E28,7&lt;=$F28),1,""))</f>
        <v/>
      </c>
      <c r="V28" s="50" t="str">
        <f>IF(OR($D28="-",$D28=""),"",IF(AND(8&gt;=$E28,8&lt;=$F28),1,""))</f>
        <v/>
      </c>
      <c r="W28" s="50" t="str">
        <f>IF(OR($D28="-",$D28=""),"",IF(AND(9&gt;=$E28,9&lt;=$F28),1,""))</f>
        <v/>
      </c>
      <c r="X28" s="50" t="str">
        <f>IF(OR($D28="-",$D28=""),"",IF(AND(10&gt;=$E28,10&lt;=$F28),1,""))</f>
        <v/>
      </c>
      <c r="Y28" s="50" t="str">
        <f>IF(OR($D28="-",$D28=""),"",IF(AND(11&gt;=$E28,11&lt;=$F28),1,""))</f>
        <v/>
      </c>
      <c r="Z28" s="50" t="str">
        <f>IF(OR($D28="-",$D28=""),"",IF(AND(12&gt;=$E28,12&lt;=$F28),1,""))</f>
        <v/>
      </c>
    </row>
    <row r="29" spans="1:26" ht="15" customHeight="1" x14ac:dyDescent="0.3">
      <c r="A29" t="s">
        <v>127</v>
      </c>
      <c r="B29" t="s">
        <v>205</v>
      </c>
      <c r="C29" t="s">
        <v>390</v>
      </c>
      <c r="D29" s="43">
        <f>8</f>
        <v>8</v>
      </c>
      <c r="E29" s="43">
        <v>4</v>
      </c>
      <c r="F29" s="43">
        <f>IF(OR($D29="-",$D29=""),"",$E29+ROUND($D29/4,0))</f>
        <v>6</v>
      </c>
      <c r="G29" s="48" t="str">
        <f>IFERROR(IF(VLOOKUP($A29,'5-PERT'!$A$4:$K$26,11,FALSE())="CRITIQUE","OUI","Non"),"Non")</f>
        <v>Non</v>
      </c>
      <c r="H29" s="50" t="str">
        <f>IF(OR($D29="-",$D29=""),"",IF(AND(-6&gt;=$E29,-6&lt;=$F29),1,""))</f>
        <v/>
      </c>
      <c r="I29" s="50" t="str">
        <f>IF(OR($D29="-",$D29=""),"",IF(AND(-5&gt;=$E29,-5&lt;=$F29),1,""))</f>
        <v/>
      </c>
      <c r="J29" s="50" t="str">
        <f>IF(OR($D29="-",$D29=""),"",IF(AND(-4&gt;=$E29,-4&lt;=$F29),1,""))</f>
        <v/>
      </c>
      <c r="K29" s="50" t="str">
        <f>IF(OR($D29="-",$D29=""),"",IF(AND(-3&gt;=$E29,-3&lt;=$F29),1,""))</f>
        <v/>
      </c>
      <c r="L29" s="50" t="str">
        <f>IF(OR($D29="-",$D29=""),"",IF(AND(-2&gt;=$E29,-2&lt;=$F29),1,""))</f>
        <v/>
      </c>
      <c r="M29" s="50" t="str">
        <f>IF(OR($D29="-",$D29=""),"",IF(AND(-1&gt;=$E29,-1&lt;=$F29),1,""))</f>
        <v/>
      </c>
      <c r="N29" s="50" t="str">
        <f>IF(OR($D29="-",$D29=""),"",IF(AND(0&gt;=$E29,0&lt;=$F29),1,""))</f>
        <v/>
      </c>
      <c r="O29" s="50" t="str">
        <f>IF(OR($D29="-",$D29=""),"",IF(AND(1&gt;=$E29,1&lt;=$F29),1,""))</f>
        <v/>
      </c>
      <c r="P29" s="50" t="str">
        <f>IF(OR($D29="-",$D29=""),"",IF(AND(2&gt;=$E29,2&lt;=$F29),1,""))</f>
        <v/>
      </c>
      <c r="Q29" s="50" t="str">
        <f>IF(OR($D29="-",$D29=""),"",IF(AND(3&gt;=$E29,3&lt;=$F29),1,""))</f>
        <v/>
      </c>
      <c r="R29" s="54">
        <f>IF(OR($D29="-",$D29=""),"",IF(AND(4&gt;=$E29,4&lt;=$F29),1,""))</f>
        <v>1</v>
      </c>
      <c r="S29" s="54">
        <f>IF(OR($D29="-",$D29=""),"",IF(AND(5&gt;=$E29,5&lt;=$F29),1,""))</f>
        <v>1</v>
      </c>
      <c r="T29" s="54">
        <f>IF(OR($D29="-",$D29=""),"",IF(AND(6&gt;=$E29,6&lt;=$F29),1,""))</f>
        <v>1</v>
      </c>
      <c r="U29" s="50" t="str">
        <f>IF(OR($D29="-",$D29=""),"",IF(AND(7&gt;=$E29,7&lt;=$F29),1,""))</f>
        <v/>
      </c>
      <c r="V29" s="50" t="str">
        <f>IF(OR($D29="-",$D29=""),"",IF(AND(8&gt;=$E29,8&lt;=$F29),1,""))</f>
        <v/>
      </c>
      <c r="W29" s="50" t="str">
        <f>IF(OR($D29="-",$D29=""),"",IF(AND(9&gt;=$E29,9&lt;=$F29),1,""))</f>
        <v/>
      </c>
      <c r="X29" s="50" t="str">
        <f>IF(OR($D29="-",$D29=""),"",IF(AND(10&gt;=$E29,10&lt;=$F29),1,""))</f>
        <v/>
      </c>
      <c r="Y29" s="50" t="str">
        <f>IF(OR($D29="-",$D29=""),"",IF(AND(11&gt;=$E29,11&lt;=$F29),1,""))</f>
        <v/>
      </c>
      <c r="Z29" s="50" t="str">
        <f>IF(OR($D29="-",$D29=""),"",IF(AND(12&gt;=$E29,12&lt;=$F29),1,""))</f>
        <v/>
      </c>
    </row>
    <row r="30" spans="1:26" ht="15" customHeight="1" x14ac:dyDescent="0.3">
      <c r="A30" s="47"/>
      <c r="B30" s="47" t="s">
        <v>391</v>
      </c>
      <c r="C30" s="47" t="s">
        <v>392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" customHeight="1" x14ac:dyDescent="0.3">
      <c r="A31" t="s">
        <v>130</v>
      </c>
      <c r="B31" t="s">
        <v>207</v>
      </c>
      <c r="C31" t="s">
        <v>131</v>
      </c>
      <c r="D31" s="43">
        <f>IF('2-Mon Projet'!$D$26=0,"-",10)</f>
        <v>10</v>
      </c>
      <c r="E31" s="43">
        <v>6</v>
      </c>
      <c r="F31" s="43">
        <f>IF(OR($D31="-",$D31=""),"",$E31+ROUND($D31/4,0))</f>
        <v>9</v>
      </c>
      <c r="G31" s="48" t="str">
        <f>IFERROR(IF(VLOOKUP($A31,'5-PERT'!$A$4:$K$26,11,FALSE())="CRITIQUE","OUI","Non"),"Non")</f>
        <v>OUI</v>
      </c>
      <c r="H31" s="50" t="str">
        <f>IF(OR($D31="-",$D31=""),"",IF(AND(-6&gt;=$E31,-6&lt;=$F31),1,""))</f>
        <v/>
      </c>
      <c r="I31" s="50" t="str">
        <f>IF(OR($D31="-",$D31=""),"",IF(AND(-5&gt;=$E31,-5&lt;=$F31),1,""))</f>
        <v/>
      </c>
      <c r="J31" s="50" t="str">
        <f>IF(OR($D31="-",$D31=""),"",IF(AND(-4&gt;=$E31,-4&lt;=$F31),1,""))</f>
        <v/>
      </c>
      <c r="K31" s="50" t="str">
        <f>IF(OR($D31="-",$D31=""),"",IF(AND(-3&gt;=$E31,-3&lt;=$F31),1,""))</f>
        <v/>
      </c>
      <c r="L31" s="50" t="str">
        <f>IF(OR($D31="-",$D31=""),"",IF(AND(-2&gt;=$E31,-2&lt;=$F31),1,""))</f>
        <v/>
      </c>
      <c r="M31" s="50" t="str">
        <f>IF(OR($D31="-",$D31=""),"",IF(AND(-1&gt;=$E31,-1&lt;=$F31),1,""))</f>
        <v/>
      </c>
      <c r="N31" s="50" t="str">
        <f>IF(OR($D31="-",$D31=""),"",IF(AND(0&gt;=$E31,0&lt;=$F31),1,""))</f>
        <v/>
      </c>
      <c r="O31" s="50" t="str">
        <f>IF(OR($D31="-",$D31=""),"",IF(AND(1&gt;=$E31,1&lt;=$F31),1,""))</f>
        <v/>
      </c>
      <c r="P31" s="50" t="str">
        <f>IF(OR($D31="-",$D31=""),"",IF(AND(2&gt;=$E31,2&lt;=$F31),1,""))</f>
        <v/>
      </c>
      <c r="Q31" s="50" t="str">
        <f>IF(OR($D31="-",$D31=""),"",IF(AND(3&gt;=$E31,3&lt;=$F31),1,""))</f>
        <v/>
      </c>
      <c r="R31" s="50" t="str">
        <f>IF(OR($D31="-",$D31=""),"",IF(AND(4&gt;=$E31,4&lt;=$F31),1,""))</f>
        <v/>
      </c>
      <c r="S31" s="50" t="str">
        <f>IF(OR($D31="-",$D31=""),"",IF(AND(5&gt;=$E31,5&lt;=$F31),1,""))</f>
        <v/>
      </c>
      <c r="T31" s="55">
        <f>IF(OR($D31="-",$D31=""),"",IF(AND(6&gt;=$E31,6&lt;=$F31),1,""))</f>
        <v>1</v>
      </c>
      <c r="U31" s="55">
        <f>IF(OR($D31="-",$D31=""),"",IF(AND(7&gt;=$E31,7&lt;=$F31),1,""))</f>
        <v>1</v>
      </c>
      <c r="V31" s="50">
        <f>IF(OR($D31="-",$D31=""),"",IF(AND(8&gt;=$E31,8&lt;=$F31),1,""))</f>
        <v>1</v>
      </c>
      <c r="W31" s="50">
        <f>IF(OR($D31="-",$D31=""),"",IF(AND(9&gt;=$E31,9&lt;=$F31),1,""))</f>
        <v>1</v>
      </c>
      <c r="X31" s="50" t="str">
        <f>IF(OR($D31="-",$D31=""),"",IF(AND(10&gt;=$E31,10&lt;=$F31),1,""))</f>
        <v/>
      </c>
      <c r="Y31" s="50" t="str">
        <f>IF(OR($D31="-",$D31=""),"",IF(AND(11&gt;=$E31,11&lt;=$F31),1,""))</f>
        <v/>
      </c>
      <c r="Z31" s="50" t="str">
        <f>IF(OR($D31="-",$D31=""),"",IF(AND(12&gt;=$E31,12&lt;=$F31),1,""))</f>
        <v/>
      </c>
    </row>
    <row r="32" spans="1:26" ht="15" customHeight="1" x14ac:dyDescent="0.3">
      <c r="A32" t="s">
        <v>133</v>
      </c>
      <c r="B32" t="s">
        <v>207</v>
      </c>
      <c r="C32" t="s">
        <v>393</v>
      </c>
      <c r="D32" s="43">
        <f>IF('2-Mon Projet'!$D$26=0,"-",4)</f>
        <v>4</v>
      </c>
      <c r="E32" s="43">
        <v>8</v>
      </c>
      <c r="F32" s="43">
        <f>IF(OR($D32="-",$D32=""),"",$E32+ROUND($D32/4,0))</f>
        <v>9</v>
      </c>
      <c r="G32" s="48" t="str">
        <f>IFERROR(IF(VLOOKUP($A32,'5-PERT'!$A$4:$K$26,11,FALSE())="CRITIQUE","OUI","Non"),"Non")</f>
        <v>OUI</v>
      </c>
      <c r="H32" s="50" t="str">
        <f>IF(OR($D32="-",$D32=""),"",IF(AND(-6&gt;=$E32,-6&lt;=$F32),1,""))</f>
        <v/>
      </c>
      <c r="I32" s="50" t="str">
        <f>IF(OR($D32="-",$D32=""),"",IF(AND(-5&gt;=$E32,-5&lt;=$F32),1,""))</f>
        <v/>
      </c>
      <c r="J32" s="50" t="str">
        <f>IF(OR($D32="-",$D32=""),"",IF(AND(-4&gt;=$E32,-4&lt;=$F32),1,""))</f>
        <v/>
      </c>
      <c r="K32" s="50" t="str">
        <f>IF(OR($D32="-",$D32=""),"",IF(AND(-3&gt;=$E32,-3&lt;=$F32),1,""))</f>
        <v/>
      </c>
      <c r="L32" s="50" t="str">
        <f>IF(OR($D32="-",$D32=""),"",IF(AND(-2&gt;=$E32,-2&lt;=$F32),1,""))</f>
        <v/>
      </c>
      <c r="M32" s="50" t="str">
        <f>IF(OR($D32="-",$D32=""),"",IF(AND(-1&gt;=$E32,-1&lt;=$F32),1,""))</f>
        <v/>
      </c>
      <c r="N32" s="50" t="str">
        <f>IF(OR($D32="-",$D32=""),"",IF(AND(0&gt;=$E32,0&lt;=$F32),1,""))</f>
        <v/>
      </c>
      <c r="O32" s="50" t="str">
        <f>IF(OR($D32="-",$D32=""),"",IF(AND(1&gt;=$E32,1&lt;=$F32),1,""))</f>
        <v/>
      </c>
      <c r="P32" s="50" t="str">
        <f>IF(OR($D32="-",$D32=""),"",IF(AND(2&gt;=$E32,2&lt;=$F32),1,""))</f>
        <v/>
      </c>
      <c r="Q32" s="50" t="str">
        <f>IF(OR($D32="-",$D32=""),"",IF(AND(3&gt;=$E32,3&lt;=$F32),1,""))</f>
        <v/>
      </c>
      <c r="R32" s="50" t="str">
        <f>IF(OR($D32="-",$D32=""),"",IF(AND(4&gt;=$E32,4&lt;=$F32),1,""))</f>
        <v/>
      </c>
      <c r="S32" s="50" t="str">
        <f>IF(OR($D32="-",$D32=""),"",IF(AND(5&gt;=$E32,5&lt;=$F32),1,""))</f>
        <v/>
      </c>
      <c r="T32" s="50" t="str">
        <f>IF(OR($D32="-",$D32=""),"",IF(AND(6&gt;=$E32,6&lt;=$F32),1,""))</f>
        <v/>
      </c>
      <c r="U32" s="50" t="str">
        <f>IF(OR($D32="-",$D32=""),"",IF(AND(7&gt;=$E32,7&lt;=$F32),1,""))</f>
        <v/>
      </c>
      <c r="V32" s="55">
        <f>IF(OR($D32="-",$D32=""),"",IF(AND(8&gt;=$E32,8&lt;=$F32),1,""))</f>
        <v>1</v>
      </c>
      <c r="W32" s="55">
        <f>IF(OR($D32="-",$D32=""),"",IF(AND(9&gt;=$E32,9&lt;=$F32),1,""))</f>
        <v>1</v>
      </c>
      <c r="X32" s="50" t="str">
        <f>IF(OR($D32="-",$D32=""),"",IF(AND(10&gt;=$E32,10&lt;=$F32),1,""))</f>
        <v/>
      </c>
      <c r="Y32" s="50" t="str">
        <f>IF(OR($D32="-",$D32=""),"",IF(AND(11&gt;=$E32,11&lt;=$F32),1,""))</f>
        <v/>
      </c>
      <c r="Z32" s="50" t="str">
        <f>IF(OR($D32="-",$D32=""),"",IF(AND(12&gt;=$E32,12&lt;=$F32),1,""))</f>
        <v/>
      </c>
    </row>
    <row r="33" spans="1:26" ht="15" customHeight="1" x14ac:dyDescent="0.3">
      <c r="A33" t="s">
        <v>136</v>
      </c>
      <c r="B33" t="s">
        <v>207</v>
      </c>
      <c r="C33" t="s">
        <v>137</v>
      </c>
      <c r="D33" s="43">
        <f>2</f>
        <v>2</v>
      </c>
      <c r="E33" s="43">
        <v>11</v>
      </c>
      <c r="F33" s="43">
        <f>IF(OR($D33="-",$D33=""),"",$E33+ROUND($D33/4,0))</f>
        <v>12</v>
      </c>
      <c r="G33" s="48" t="str">
        <f>IFERROR(IF(VLOOKUP($A33,'5-PERT'!$A$4:$K$26,11,FALSE())="CRITIQUE","OUI","Non"),"Non")</f>
        <v>OUI</v>
      </c>
      <c r="H33" s="50" t="str">
        <f>IF(OR($D33="-",$D33=""),"",IF(AND(-6&gt;=$E33,-6&lt;=$F33),1,""))</f>
        <v/>
      </c>
      <c r="I33" s="50" t="str">
        <f>IF(OR($D33="-",$D33=""),"",IF(AND(-5&gt;=$E33,-5&lt;=$F33),1,""))</f>
        <v/>
      </c>
      <c r="J33" s="50" t="str">
        <f>IF(OR($D33="-",$D33=""),"",IF(AND(-4&gt;=$E33,-4&lt;=$F33),1,""))</f>
        <v/>
      </c>
      <c r="K33" s="50" t="str">
        <f>IF(OR($D33="-",$D33=""),"",IF(AND(-3&gt;=$E33,-3&lt;=$F33),1,""))</f>
        <v/>
      </c>
      <c r="L33" s="50" t="str">
        <f>IF(OR($D33="-",$D33=""),"",IF(AND(-2&gt;=$E33,-2&lt;=$F33),1,""))</f>
        <v/>
      </c>
      <c r="M33" s="50" t="str">
        <f>IF(OR($D33="-",$D33=""),"",IF(AND(-1&gt;=$E33,-1&lt;=$F33),1,""))</f>
        <v/>
      </c>
      <c r="N33" s="50" t="str">
        <f>IF(OR($D33="-",$D33=""),"",IF(AND(0&gt;=$E33,0&lt;=$F33),1,""))</f>
        <v/>
      </c>
      <c r="O33" s="50" t="str">
        <f>IF(OR($D33="-",$D33=""),"",IF(AND(1&gt;=$E33,1&lt;=$F33),1,""))</f>
        <v/>
      </c>
      <c r="P33" s="50" t="str">
        <f>IF(OR($D33="-",$D33=""),"",IF(AND(2&gt;=$E33,2&lt;=$F33),1,""))</f>
        <v/>
      </c>
      <c r="Q33" s="50" t="str">
        <f>IF(OR($D33="-",$D33=""),"",IF(AND(3&gt;=$E33,3&lt;=$F33),1,""))</f>
        <v/>
      </c>
      <c r="R33" s="50" t="str">
        <f>IF(OR($D33="-",$D33=""),"",IF(AND(4&gt;=$E33,4&lt;=$F33),1,""))</f>
        <v/>
      </c>
      <c r="S33" s="50" t="str">
        <f>IF(OR($D33="-",$D33=""),"",IF(AND(5&gt;=$E33,5&lt;=$F33),1,""))</f>
        <v/>
      </c>
      <c r="T33" s="50" t="str">
        <f>IF(OR($D33="-",$D33=""),"",IF(AND(6&gt;=$E33,6&lt;=$F33),1,""))</f>
        <v/>
      </c>
      <c r="U33" s="50" t="str">
        <f>IF(OR($D33="-",$D33=""),"",IF(AND(7&gt;=$E33,7&lt;=$F33),1,""))</f>
        <v/>
      </c>
      <c r="V33" s="50" t="str">
        <f>IF(OR($D33="-",$D33=""),"",IF(AND(8&gt;=$E33,8&lt;=$F33),1,""))</f>
        <v/>
      </c>
      <c r="W33" s="50" t="str">
        <f>IF(OR($D33="-",$D33=""),"",IF(AND(9&gt;=$E33,9&lt;=$F33),1,""))</f>
        <v/>
      </c>
      <c r="X33" s="50" t="str">
        <f>IF(OR($D33="-",$D33=""),"",IF(AND(10&gt;=$E33,10&lt;=$F33),1,""))</f>
        <v/>
      </c>
      <c r="Y33" s="55">
        <f>IF(OR($D33="-",$D33=""),"",IF(AND(11&gt;=$E33,11&lt;=$F33),1,""))</f>
        <v>1</v>
      </c>
      <c r="Z33" s="55">
        <f>IF(OR($D33="-",$D33=""),"",IF(AND(12&gt;=$E33,12&lt;=$F33),1,""))</f>
        <v>1</v>
      </c>
    </row>
    <row r="34" spans="1:26" ht="15" customHeight="1" x14ac:dyDescent="0.3">
      <c r="A34" s="47"/>
      <c r="B34" s="47" t="s">
        <v>394</v>
      </c>
      <c r="C34" s="47" t="s">
        <v>395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" customHeight="1" x14ac:dyDescent="0.3">
      <c r="A35" t="s">
        <v>139</v>
      </c>
      <c r="B35" t="s">
        <v>209</v>
      </c>
      <c r="C35" t="s">
        <v>396</v>
      </c>
      <c r="D35" s="43">
        <f>48</f>
        <v>48</v>
      </c>
      <c r="E35" s="43">
        <v>0</v>
      </c>
      <c r="F35" s="43">
        <f>IF(OR($D35="-",$D35=""),"",$E35+ROUND($D35/4,0))</f>
        <v>12</v>
      </c>
      <c r="G35" s="48" t="str">
        <f>IFERROR(IF(VLOOKUP($A35,'5-PERT'!$A$4:$K$26,11,FALSE())="CRITIQUE","OUI","Non"),"Non")</f>
        <v>Non</v>
      </c>
      <c r="H35" s="50" t="str">
        <f>IF(OR($D35="-",$D35=""),"",IF(AND(-6&gt;=$E35,-6&lt;=$F35),1,""))</f>
        <v/>
      </c>
      <c r="I35" s="50" t="str">
        <f>IF(OR($D35="-",$D35=""),"",IF(AND(-5&gt;=$E35,-5&lt;=$F35),1,""))</f>
        <v/>
      </c>
      <c r="J35" s="50" t="str">
        <f>IF(OR($D35="-",$D35=""),"",IF(AND(-4&gt;=$E35,-4&lt;=$F35),1,""))</f>
        <v/>
      </c>
      <c r="K35" s="50" t="str">
        <f>IF(OR($D35="-",$D35=""),"",IF(AND(-3&gt;=$E35,-3&lt;=$F35),1,""))</f>
        <v/>
      </c>
      <c r="L35" s="50" t="str">
        <f>IF(OR($D35="-",$D35=""),"",IF(AND(-2&gt;=$E35,-2&lt;=$F35),1,""))</f>
        <v/>
      </c>
      <c r="M35" s="50" t="str">
        <f>IF(OR($D35="-",$D35=""),"",IF(AND(-1&gt;=$E35,-1&lt;=$F35),1,""))</f>
        <v/>
      </c>
      <c r="N35" s="56">
        <f>IF(OR($D35="-",$D35=""),"",IF(AND(0&gt;=$E35,0&lt;=$F35),1,""))</f>
        <v>1</v>
      </c>
      <c r="O35" s="56">
        <f>IF(OR($D35="-",$D35=""),"",IF(AND(1&gt;=$E35,1&lt;=$F35),1,""))</f>
        <v>1</v>
      </c>
      <c r="P35" s="56">
        <f>IF(OR($D35="-",$D35=""),"",IF(AND(2&gt;=$E35,2&lt;=$F35),1,""))</f>
        <v>1</v>
      </c>
      <c r="Q35" s="56">
        <f>IF(OR($D35="-",$D35=""),"",IF(AND(3&gt;=$E35,3&lt;=$F35),1,""))</f>
        <v>1</v>
      </c>
      <c r="R35" s="56">
        <f>IF(OR($D35="-",$D35=""),"",IF(AND(4&gt;=$E35,4&lt;=$F35),1,""))</f>
        <v>1</v>
      </c>
      <c r="S35" s="56">
        <f>IF(OR($D35="-",$D35=""),"",IF(AND(5&gt;=$E35,5&lt;=$F35),1,""))</f>
        <v>1</v>
      </c>
      <c r="T35" s="56">
        <f>IF(OR($D35="-",$D35=""),"",IF(AND(6&gt;=$E35,6&lt;=$F35),1,""))</f>
        <v>1</v>
      </c>
      <c r="U35" s="56">
        <f>IF(OR($D35="-",$D35=""),"",IF(AND(7&gt;=$E35,7&lt;=$F35),1,""))</f>
        <v>1</v>
      </c>
      <c r="V35" s="56">
        <f>IF(OR($D35="-",$D35=""),"",IF(AND(8&gt;=$E35,8&lt;=$F35),1,""))</f>
        <v>1</v>
      </c>
      <c r="W35" s="56">
        <f>IF(OR($D35="-",$D35=""),"",IF(AND(9&gt;=$E35,9&lt;=$F35),1,""))</f>
        <v>1</v>
      </c>
      <c r="X35" s="56">
        <f>IF(OR($D35="-",$D35=""),"",IF(AND(10&gt;=$E35,10&lt;=$F35),1,""))</f>
        <v>1</v>
      </c>
      <c r="Y35" s="56">
        <f>IF(OR($D35="-",$D35=""),"",IF(AND(11&gt;=$E35,11&lt;=$F35),1,""))</f>
        <v>1</v>
      </c>
      <c r="Z35" s="56">
        <f>IF(OR($D35="-",$D35=""),"",IF(AND(12&gt;=$E35,12&lt;=$F35),1,""))</f>
        <v>1</v>
      </c>
    </row>
    <row r="38" spans="1:26" ht="14.25" customHeight="1" x14ac:dyDescent="0.3">
      <c r="A38" s="57" t="s">
        <v>397</v>
      </c>
      <c r="B38" s="10"/>
      <c r="C38" s="10"/>
      <c r="D38" s="10"/>
      <c r="E38" s="10"/>
      <c r="F38" s="10"/>
      <c r="G38" s="10"/>
      <c r="H38" s="10"/>
      <c r="I38" s="10"/>
    </row>
    <row r="39" spans="1:26" ht="14.25" customHeight="1" x14ac:dyDescent="0.3">
      <c r="A39" s="49" t="s">
        <v>179</v>
      </c>
      <c r="B39" s="14" t="s">
        <v>398</v>
      </c>
      <c r="C39" s="38" t="s">
        <v>399</v>
      </c>
      <c r="D39" s="10"/>
      <c r="E39" s="10"/>
      <c r="F39" s="10"/>
      <c r="G39" s="10"/>
      <c r="H39" s="10"/>
      <c r="I39" s="10"/>
    </row>
    <row r="40" spans="1:26" ht="14.25" customHeight="1" x14ac:dyDescent="0.3">
      <c r="A40" s="28" t="s">
        <v>179</v>
      </c>
      <c r="B40" s="14" t="s">
        <v>400</v>
      </c>
      <c r="C40" s="38" t="s">
        <v>401</v>
      </c>
      <c r="D40" s="10"/>
      <c r="E40" s="10"/>
      <c r="F40" s="10"/>
      <c r="G40" s="10"/>
      <c r="H40" s="10"/>
      <c r="I40" s="10"/>
    </row>
    <row r="41" spans="1:26" ht="14.25" customHeight="1" x14ac:dyDescent="0.3">
      <c r="A41" s="51" t="s">
        <v>179</v>
      </c>
      <c r="B41" s="14" t="s">
        <v>402</v>
      </c>
      <c r="C41" s="38" t="s">
        <v>403</v>
      </c>
      <c r="D41" s="10"/>
      <c r="E41" s="10"/>
      <c r="F41" s="10"/>
      <c r="G41" s="10"/>
      <c r="H41" s="10"/>
      <c r="I41" s="10"/>
    </row>
    <row r="42" spans="1:26" ht="14.25" customHeight="1" x14ac:dyDescent="0.3">
      <c r="A42" s="28" t="s">
        <v>179</v>
      </c>
      <c r="B42" s="14" t="s">
        <v>404</v>
      </c>
      <c r="C42" s="38" t="s">
        <v>405</v>
      </c>
      <c r="D42" s="10"/>
      <c r="E42" s="10"/>
      <c r="F42" s="10"/>
      <c r="G42" s="10"/>
      <c r="H42" s="10"/>
      <c r="I42" s="10"/>
    </row>
    <row r="43" spans="1:26" ht="14.25" customHeight="1" x14ac:dyDescent="0.3">
      <c r="A43" s="30" t="s">
        <v>179</v>
      </c>
      <c r="B43" s="14" t="s">
        <v>406</v>
      </c>
      <c r="C43" s="38" t="s">
        <v>407</v>
      </c>
      <c r="D43" s="10"/>
      <c r="E43" s="10"/>
      <c r="F43" s="10"/>
      <c r="G43" s="10"/>
      <c r="H43" s="10"/>
      <c r="I43" s="10"/>
    </row>
    <row r="44" spans="1:26" ht="14.25" customHeight="1" x14ac:dyDescent="0.3">
      <c r="A44" s="58" t="str">
        <f>IF(OR($D44="-",$D44=""),"",IF(AND(6&gt;=$E44,6&lt;=$F44),1,""))</f>
        <v/>
      </c>
      <c r="B44" s="14" t="s">
        <v>408</v>
      </c>
      <c r="C44" s="38" t="s">
        <v>409</v>
      </c>
      <c r="D44" s="10"/>
      <c r="E44" s="10"/>
      <c r="F44" s="10"/>
      <c r="G44" s="10"/>
      <c r="H44" s="10"/>
      <c r="I44" s="10"/>
    </row>
    <row r="45" spans="1:26" ht="14.25" customHeight="1" x14ac:dyDescent="0.3">
      <c r="A45" s="31" t="s">
        <v>179</v>
      </c>
      <c r="B45" s="14" t="s">
        <v>410</v>
      </c>
      <c r="C45" s="38" t="s">
        <v>411</v>
      </c>
      <c r="D45" s="10"/>
      <c r="E45" s="10"/>
      <c r="F45" s="10"/>
      <c r="G45" s="10"/>
      <c r="H45" s="10"/>
      <c r="I45" s="10"/>
    </row>
    <row r="46" spans="1:26" ht="14.25" customHeight="1" x14ac:dyDescent="0.3">
      <c r="A46" s="22" t="s">
        <v>179</v>
      </c>
      <c r="B46" s="59" t="s">
        <v>412</v>
      </c>
      <c r="C46" s="10" t="s">
        <v>413</v>
      </c>
      <c r="D46" s="10"/>
      <c r="E46" s="10"/>
      <c r="F46" s="10"/>
      <c r="G46" s="10"/>
      <c r="H46" s="10"/>
      <c r="I46" s="10"/>
    </row>
    <row r="47" spans="1:26" ht="14.2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</row>
    <row r="48" spans="1:26" ht="14.2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</row>
    <row r="49" spans="1:9" ht="14.25" customHeight="1" x14ac:dyDescent="0.3">
      <c r="A49" s="60" t="s">
        <v>179</v>
      </c>
      <c r="B49" s="10"/>
      <c r="C49" s="50" t="str">
        <f>IF(OR($D49="-",$D49=""),"",IF(AND(0&gt;=$E49,0&lt;=$F49),1,""))</f>
        <v/>
      </c>
      <c r="D49" s="10"/>
      <c r="E49" s="10"/>
      <c r="F49" s="10"/>
      <c r="G49" s="10"/>
      <c r="H49" s="10"/>
      <c r="I49" s="10"/>
    </row>
    <row r="50" spans="1:9" ht="14.25" customHeight="1" x14ac:dyDescent="0.3">
      <c r="A50" s="50" t="s">
        <v>179</v>
      </c>
      <c r="B50" s="10"/>
      <c r="C50" s="10"/>
      <c r="D50" s="10"/>
      <c r="E50" s="10"/>
      <c r="F50" s="10"/>
      <c r="G50" s="10"/>
      <c r="H50" s="10"/>
      <c r="I50" s="10"/>
    </row>
    <row r="51" spans="1:9" ht="14.25" customHeight="1" x14ac:dyDescent="0.3">
      <c r="A51" s="50" t="str">
        <f>IF(OR($D51="-",$D51=""),"",IF(AND(0&gt;=$E51,0&lt;=$F51),1,""))</f>
        <v/>
      </c>
      <c r="B51" s="10"/>
      <c r="C51" s="10"/>
      <c r="D51" s="10"/>
      <c r="E51" s="10"/>
      <c r="F51" s="10"/>
      <c r="G51" s="10"/>
      <c r="H51" s="10"/>
      <c r="I51" s="10"/>
    </row>
    <row r="52" spans="1:9" ht="14.25" customHeight="1" x14ac:dyDescent="0.3">
      <c r="A52" s="50" t="str">
        <f>IF(OR($D52="-",$D52=""),"",IF(AND(6&gt;=$E52,6&lt;=$F52),1,""))</f>
        <v/>
      </c>
      <c r="B52" s="10"/>
      <c r="C52" s="10"/>
      <c r="D52" s="10"/>
      <c r="E52" s="10"/>
      <c r="F52" s="10"/>
      <c r="G52" s="10"/>
      <c r="H52" s="10"/>
      <c r="I52" s="10"/>
    </row>
    <row r="53" spans="1:9" ht="14.25" customHeight="1" x14ac:dyDescent="0.3">
      <c r="A53" s="50" t="str">
        <f>IF(OR($D53="-",$D53=""),"",IF(AND(7&gt;=$E53,7&lt;=$F53),1,""))</f>
        <v/>
      </c>
      <c r="B53" s="10"/>
      <c r="C53" s="10"/>
      <c r="D53" s="10"/>
      <c r="E53" s="10"/>
      <c r="F53" s="10"/>
      <c r="G53" s="10"/>
      <c r="H53" s="10"/>
      <c r="I53" s="10"/>
    </row>
    <row r="54" spans="1:9" ht="14.2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</row>
  </sheetData>
  <sheetProtection algorithmName="SHA-512" hashValue="So4heXhJM1/azFYqtOoEhxyUhyDEaTS2M8WMypvJ7sXfRFnx/m1ImMq0JoVawtlKQvzTZ3gAhu95zQ+Tx/aVRA==" saltValue="LadutM10X/0NjXEaak6vjQ==" spinCount="100000" sheet="1" objects="1" scenarios="1"/>
  <conditionalFormatting sqref="A39">
    <cfRule type="cellIs" dxfId="21" priority="8" operator="equal">
      <formula>1</formula>
    </cfRule>
  </conditionalFormatting>
  <conditionalFormatting sqref="A41">
    <cfRule type="cellIs" dxfId="20" priority="6" operator="equal">
      <formula>1</formula>
    </cfRule>
  </conditionalFormatting>
  <conditionalFormatting sqref="A44">
    <cfRule type="cellIs" dxfId="19" priority="5" operator="equal">
      <formula>1</formula>
    </cfRule>
  </conditionalFormatting>
  <conditionalFormatting sqref="A50">
    <cfRule type="cellIs" dxfId="18" priority="7" operator="equal">
      <formula>1</formula>
    </cfRule>
  </conditionalFormatting>
  <conditionalFormatting sqref="A51">
    <cfRule type="cellIs" dxfId="17" priority="3" operator="equal">
      <formula>1</formula>
    </cfRule>
  </conditionalFormatting>
  <conditionalFormatting sqref="A52:A53">
    <cfRule type="cellIs" dxfId="16" priority="2" operator="equal">
      <formula>1</formula>
    </cfRule>
  </conditionalFormatting>
  <conditionalFormatting sqref="C49">
    <cfRule type="cellIs" dxfId="15" priority="4" operator="equal">
      <formula>1</formula>
    </cfRule>
  </conditionalFormatting>
  <conditionalFormatting sqref="H6:Z11">
    <cfRule type="cellIs" dxfId="14" priority="9" operator="equal">
      <formula>1</formula>
    </cfRule>
  </conditionalFormatting>
  <conditionalFormatting sqref="H13:Z13">
    <cfRule type="cellIs" dxfId="13" priority="10" operator="equal">
      <formula>1</formula>
    </cfRule>
  </conditionalFormatting>
  <conditionalFormatting sqref="H14:Z14">
    <cfRule type="cellIs" dxfId="12" priority="17" operator="equal">
      <formula>1</formula>
    </cfRule>
  </conditionalFormatting>
  <conditionalFormatting sqref="H15:Z15">
    <cfRule type="cellIs" dxfId="11" priority="11" operator="equal">
      <formula>1</formula>
    </cfRule>
  </conditionalFormatting>
  <conditionalFormatting sqref="H17:Z19">
    <cfRule type="cellIs" dxfId="10" priority="12" operator="equal">
      <formula>1</formula>
    </cfRule>
  </conditionalFormatting>
  <conditionalFormatting sqref="H20:Z20">
    <cfRule type="cellIs" dxfId="9" priority="18" operator="equal">
      <formula>1</formula>
    </cfRule>
  </conditionalFormatting>
  <conditionalFormatting sqref="H22:Z24">
    <cfRule type="cellIs" dxfId="8" priority="13" operator="equal">
      <formula>1</formula>
    </cfRule>
  </conditionalFormatting>
  <conditionalFormatting sqref="H26:Z29">
    <cfRule type="cellIs" dxfId="7" priority="14" operator="equal">
      <formula>1</formula>
    </cfRule>
  </conditionalFormatting>
  <conditionalFormatting sqref="H31:Z33">
    <cfRule type="cellIs" dxfId="6" priority="15" operator="equal">
      <formula>1</formula>
    </cfRule>
  </conditionalFormatting>
  <conditionalFormatting sqref="H35:Z35">
    <cfRule type="cellIs" dxfId="5" priority="16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7"/>
  <sheetViews>
    <sheetView showGridLines="0" zoomScaleNormal="100" workbookViewId="0">
      <pane ySplit="3" topLeftCell="A4" activePane="bottomLeft" state="frozen"/>
      <selection pane="bottomLeft" sqref="A1:N1"/>
    </sheetView>
  </sheetViews>
  <sheetFormatPr baseColWidth="10" defaultColWidth="8.6640625" defaultRowHeight="14.4" x14ac:dyDescent="0.3"/>
  <cols>
    <col min="1" max="1" width="5" customWidth="1"/>
    <col min="2" max="2" width="38" customWidth="1"/>
    <col min="3" max="4" width="7" customWidth="1"/>
    <col min="5" max="5" width="8" customWidth="1"/>
    <col min="6" max="9" width="9" customWidth="1"/>
    <col min="10" max="10" width="8" customWidth="1"/>
    <col min="11" max="12" width="11" customWidth="1"/>
    <col min="13" max="13" width="12" customWidth="1"/>
    <col min="14" max="14" width="30" customWidth="1"/>
  </cols>
  <sheetData>
    <row r="1" spans="1:14" ht="27.75" customHeight="1" x14ac:dyDescent="0.3">
      <c r="A1" s="149" t="s">
        <v>414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15.75" customHeight="1" x14ac:dyDescent="0.3">
      <c r="A2" s="150" t="s">
        <v>415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</row>
    <row r="3" spans="1:14" ht="37.5" customHeight="1" x14ac:dyDescent="0.3">
      <c r="A3" s="61" t="s">
        <v>65</v>
      </c>
      <c r="B3" s="61" t="s">
        <v>66</v>
      </c>
      <c r="C3" s="61" t="s">
        <v>416</v>
      </c>
      <c r="D3" s="61" t="s">
        <v>417</v>
      </c>
      <c r="E3" s="61" t="s">
        <v>418</v>
      </c>
      <c r="F3" s="61" t="s">
        <v>419</v>
      </c>
      <c r="G3" s="61" t="s">
        <v>420</v>
      </c>
      <c r="H3" s="61" t="s">
        <v>421</v>
      </c>
      <c r="I3" s="61" t="s">
        <v>422</v>
      </c>
      <c r="J3" s="61" t="s">
        <v>423</v>
      </c>
      <c r="K3" s="61" t="s">
        <v>424</v>
      </c>
      <c r="L3" s="61" t="s">
        <v>67</v>
      </c>
      <c r="M3" s="61" t="s">
        <v>425</v>
      </c>
      <c r="N3" s="61" t="s">
        <v>426</v>
      </c>
    </row>
    <row r="4" spans="1:14" ht="24" customHeight="1" x14ac:dyDescent="0.3">
      <c r="A4" s="62" t="s">
        <v>69</v>
      </c>
      <c r="B4" s="63" t="s">
        <v>427</v>
      </c>
      <c r="C4" s="64"/>
      <c r="D4" s="64"/>
      <c r="E4" s="65">
        <f>'4-Gantt'!D6</f>
        <v>2</v>
      </c>
      <c r="F4" s="65">
        <f>0</f>
        <v>0</v>
      </c>
      <c r="G4" s="65">
        <f t="shared" ref="G4:G26" si="0">F4+E4</f>
        <v>2</v>
      </c>
      <c r="H4" s="65">
        <f t="shared" ref="H4:H26" si="1">I4-E4</f>
        <v>0</v>
      </c>
      <c r="I4" s="65">
        <f>H5</f>
        <v>2</v>
      </c>
      <c r="J4" s="65">
        <f t="shared" ref="J4:J26" si="2">H4-F4</f>
        <v>0</v>
      </c>
      <c r="K4" s="66" t="str">
        <f t="shared" ref="K4:K26" si="3">IF(J4=0,"CRITIQUE","")</f>
        <v>CRITIQUE</v>
      </c>
      <c r="L4" s="67" t="str">
        <f>IFERROR(VLOOKUP($A4,'0-Saisie'!$B$46:$E$69,4,FALSE()),"À faire")</f>
        <v>Terminé</v>
      </c>
      <c r="M4" s="64" t="s">
        <v>428</v>
      </c>
      <c r="N4" s="63" t="s">
        <v>429</v>
      </c>
    </row>
    <row r="5" spans="1:14" ht="24" customHeight="1" x14ac:dyDescent="0.3">
      <c r="A5" s="68" t="s">
        <v>73</v>
      </c>
      <c r="B5" s="69" t="s">
        <v>430</v>
      </c>
      <c r="C5" s="70" t="s">
        <v>69</v>
      </c>
      <c r="D5" s="71"/>
      <c r="E5" s="65">
        <f>'4-Gantt'!D7</f>
        <v>3</v>
      </c>
      <c r="F5" s="65">
        <f>IFERROR(VLOOKUP(C5,$A$4:$G$26,7,FALSE()),0)</f>
        <v>2</v>
      </c>
      <c r="G5" s="65">
        <f t="shared" si="0"/>
        <v>5</v>
      </c>
      <c r="H5" s="65">
        <f t="shared" si="1"/>
        <v>2</v>
      </c>
      <c r="I5" s="65">
        <f>MIN(H6,H9)</f>
        <v>5</v>
      </c>
      <c r="J5" s="65">
        <f t="shared" si="2"/>
        <v>0</v>
      </c>
      <c r="K5" s="66" t="str">
        <f t="shared" si="3"/>
        <v>CRITIQUE</v>
      </c>
      <c r="L5" s="67" t="str">
        <f>IFERROR(VLOOKUP($A5,'0-Saisie'!$B$46:$E$69,4,FALSE()),"À faire")</f>
        <v>Terminé</v>
      </c>
      <c r="M5" s="71" t="s">
        <v>431</v>
      </c>
      <c r="N5" s="69" t="s">
        <v>432</v>
      </c>
    </row>
    <row r="6" spans="1:14" ht="24" customHeight="1" x14ac:dyDescent="0.3">
      <c r="A6" s="62" t="s">
        <v>76</v>
      </c>
      <c r="B6" s="63" t="s">
        <v>77</v>
      </c>
      <c r="C6" s="70" t="s">
        <v>73</v>
      </c>
      <c r="D6" s="64"/>
      <c r="E6" s="65">
        <f>'4-Gantt'!D8</f>
        <v>4</v>
      </c>
      <c r="F6" s="65">
        <f>IFERROR(VLOOKUP(C6,$A$4:$G$26,7,FALSE()),0)</f>
        <v>5</v>
      </c>
      <c r="G6" s="65">
        <f t="shared" si="0"/>
        <v>9</v>
      </c>
      <c r="H6" s="65">
        <f t="shared" si="1"/>
        <v>5</v>
      </c>
      <c r="I6" s="65">
        <f>MIN(H7,H8)</f>
        <v>9</v>
      </c>
      <c r="J6" s="65">
        <f t="shared" si="2"/>
        <v>0</v>
      </c>
      <c r="K6" s="66" t="str">
        <f t="shared" si="3"/>
        <v>CRITIQUE</v>
      </c>
      <c r="L6" s="67" t="str">
        <f>IFERROR(VLOOKUP($A6,'0-Saisie'!$B$46:$E$69,4,FALSE()),"À faire")</f>
        <v>Terminé</v>
      </c>
      <c r="M6" s="64" t="s">
        <v>433</v>
      </c>
      <c r="N6" s="63" t="s">
        <v>434</v>
      </c>
    </row>
    <row r="7" spans="1:14" ht="24" customHeight="1" x14ac:dyDescent="0.3">
      <c r="A7" s="68" t="s">
        <v>79</v>
      </c>
      <c r="B7" s="69" t="s">
        <v>80</v>
      </c>
      <c r="C7" s="70" t="s">
        <v>76</v>
      </c>
      <c r="D7" s="71"/>
      <c r="E7" s="65">
        <f>'4-Gantt'!D9</f>
        <v>3</v>
      </c>
      <c r="F7" s="65">
        <f>IFERROR(VLOOKUP(C7,$A$4:$G$26,7,FALSE()),0)</f>
        <v>9</v>
      </c>
      <c r="G7" s="65">
        <f t="shared" si="0"/>
        <v>12</v>
      </c>
      <c r="H7" s="65">
        <f t="shared" si="1"/>
        <v>9</v>
      </c>
      <c r="I7" s="65">
        <f>H10</f>
        <v>12</v>
      </c>
      <c r="J7" s="65">
        <f t="shared" si="2"/>
        <v>0</v>
      </c>
      <c r="K7" s="66" t="str">
        <f t="shared" si="3"/>
        <v>CRITIQUE</v>
      </c>
      <c r="L7" s="67" t="str">
        <f>IFERROR(VLOOKUP($A7,'0-Saisie'!$B$46:$E$69,4,FALSE()),"À faire")</f>
        <v>Terminé</v>
      </c>
      <c r="M7" s="71" t="s">
        <v>435</v>
      </c>
      <c r="N7" s="69" t="s">
        <v>436</v>
      </c>
    </row>
    <row r="8" spans="1:14" ht="24" customHeight="1" x14ac:dyDescent="0.3">
      <c r="A8" s="62" t="s">
        <v>82</v>
      </c>
      <c r="B8" s="63" t="s">
        <v>83</v>
      </c>
      <c r="C8" s="70" t="s">
        <v>76</v>
      </c>
      <c r="D8" s="64"/>
      <c r="E8" s="65">
        <f>'4-Gantt'!D10</f>
        <v>3</v>
      </c>
      <c r="F8" s="65">
        <f>IFERROR(VLOOKUP(C8,$A$4:$G$26,7,FALSE()),0)</f>
        <v>9</v>
      </c>
      <c r="G8" s="65">
        <f t="shared" si="0"/>
        <v>12</v>
      </c>
      <c r="H8" s="65">
        <f t="shared" si="1"/>
        <v>9</v>
      </c>
      <c r="I8" s="65">
        <f>MIN(H10,H13)</f>
        <v>12</v>
      </c>
      <c r="J8" s="65">
        <f t="shared" si="2"/>
        <v>0</v>
      </c>
      <c r="K8" s="66" t="str">
        <f t="shared" si="3"/>
        <v>CRITIQUE</v>
      </c>
      <c r="L8" s="67" t="str">
        <f>IFERROR(VLOOKUP($A8,'0-Saisie'!$B$46:$E$69,4,FALSE()),"À faire")</f>
        <v>Terminé</v>
      </c>
      <c r="M8" s="64" t="s">
        <v>437</v>
      </c>
      <c r="N8" s="63" t="s">
        <v>438</v>
      </c>
    </row>
    <row r="9" spans="1:14" ht="24" customHeight="1" x14ac:dyDescent="0.3">
      <c r="A9" s="68" t="s">
        <v>85</v>
      </c>
      <c r="B9" s="69" t="s">
        <v>439</v>
      </c>
      <c r="C9" s="70" t="s">
        <v>73</v>
      </c>
      <c r="D9" s="71"/>
      <c r="E9" s="65">
        <f>'4-Gantt'!D11</f>
        <v>2</v>
      </c>
      <c r="F9" s="65">
        <f>IFERROR(VLOOKUP(C9,$A$4:$G$26,7,FALSE()),0)</f>
        <v>5</v>
      </c>
      <c r="G9" s="65">
        <f t="shared" si="0"/>
        <v>7</v>
      </c>
      <c r="H9" s="65">
        <f t="shared" si="1"/>
        <v>61</v>
      </c>
      <c r="I9" s="72">
        <f>$E$29</f>
        <v>63</v>
      </c>
      <c r="J9" s="65">
        <f t="shared" si="2"/>
        <v>56</v>
      </c>
      <c r="K9" s="66" t="str">
        <f t="shared" si="3"/>
        <v/>
      </c>
      <c r="L9" s="67" t="str">
        <f>IFERROR(VLOOKUP($A9,'0-Saisie'!$B$46:$E$69,4,FALSE()),"À faire")</f>
        <v>Terminé</v>
      </c>
      <c r="M9" s="71" t="s">
        <v>431</v>
      </c>
      <c r="N9" s="69" t="s">
        <v>440</v>
      </c>
    </row>
    <row r="10" spans="1:14" ht="24" customHeight="1" x14ac:dyDescent="0.3">
      <c r="A10" s="62" t="s">
        <v>88</v>
      </c>
      <c r="B10" s="63" t="s">
        <v>441</v>
      </c>
      <c r="C10" s="70" t="s">
        <v>79</v>
      </c>
      <c r="D10" s="70" t="s">
        <v>82</v>
      </c>
      <c r="E10" s="65">
        <f>'4-Gantt'!D13</f>
        <v>4</v>
      </c>
      <c r="F10" s="65">
        <f>IFERROR(MAX(VLOOKUP(C10,$A$4:$G$26,7,FALSE()),VLOOKUP(D10,$A$4:$G$26,7,FALSE())),0)</f>
        <v>12</v>
      </c>
      <c r="G10" s="65">
        <f t="shared" si="0"/>
        <v>16</v>
      </c>
      <c r="H10" s="65">
        <f t="shared" si="1"/>
        <v>12</v>
      </c>
      <c r="I10" s="65">
        <f>MIN(H11,H12)</f>
        <v>16</v>
      </c>
      <c r="J10" s="65">
        <f t="shared" si="2"/>
        <v>0</v>
      </c>
      <c r="K10" s="66" t="str">
        <f t="shared" si="3"/>
        <v>CRITIQUE</v>
      </c>
      <c r="L10" s="67" t="str">
        <f>IFERROR(VLOOKUP($A10,'0-Saisie'!$B$46:$E$69,4,FALSE()),"À faire")</f>
        <v>Terminé</v>
      </c>
      <c r="M10" s="64" t="s">
        <v>442</v>
      </c>
      <c r="N10" s="63" t="s">
        <v>443</v>
      </c>
    </row>
    <row r="11" spans="1:14" ht="24" customHeight="1" x14ac:dyDescent="0.3">
      <c r="A11" s="68" t="s">
        <v>91</v>
      </c>
      <c r="B11" s="69" t="s">
        <v>444</v>
      </c>
      <c r="C11" s="70" t="s">
        <v>88</v>
      </c>
      <c r="D11" s="71"/>
      <c r="E11" s="65">
        <f>'4-Gantt'!D14</f>
        <v>6</v>
      </c>
      <c r="F11" s="65">
        <f>IFERROR(VLOOKUP(C11,$A$4:$G$26,7,FALSE()),0)</f>
        <v>16</v>
      </c>
      <c r="G11" s="65">
        <f t="shared" si="0"/>
        <v>22</v>
      </c>
      <c r="H11" s="65">
        <f t="shared" si="1"/>
        <v>16</v>
      </c>
      <c r="I11" s="65">
        <f>MIN(H16,H17)</f>
        <v>22</v>
      </c>
      <c r="J11" s="65">
        <f t="shared" si="2"/>
        <v>0</v>
      </c>
      <c r="K11" s="66" t="str">
        <f t="shared" si="3"/>
        <v>CRITIQUE</v>
      </c>
      <c r="L11" s="67" t="str">
        <f>IFERROR(VLOOKUP($A11,'0-Saisie'!$B$46:$E$69,4,FALSE()),"À faire")</f>
        <v>Terminé</v>
      </c>
      <c r="M11" s="71" t="s">
        <v>445</v>
      </c>
      <c r="N11" s="69" t="s">
        <v>446</v>
      </c>
    </row>
    <row r="12" spans="1:14" ht="24" customHeight="1" x14ac:dyDescent="0.3">
      <c r="A12" s="62" t="s">
        <v>94</v>
      </c>
      <c r="B12" s="63" t="s">
        <v>95</v>
      </c>
      <c r="C12" s="70" t="s">
        <v>88</v>
      </c>
      <c r="D12" s="64"/>
      <c r="E12" s="65">
        <f>'4-Gantt'!D15</f>
        <v>2</v>
      </c>
      <c r="F12" s="65">
        <f>IFERROR(VLOOKUP(C12,$A$4:$G$26,7,FALSE()),0)</f>
        <v>16</v>
      </c>
      <c r="G12" s="65">
        <f t="shared" si="0"/>
        <v>18</v>
      </c>
      <c r="H12" s="65">
        <f t="shared" si="1"/>
        <v>21</v>
      </c>
      <c r="I12" s="65">
        <f>H17</f>
        <v>23</v>
      </c>
      <c r="J12" s="65">
        <f t="shared" si="2"/>
        <v>5</v>
      </c>
      <c r="K12" s="66" t="str">
        <f t="shared" si="3"/>
        <v/>
      </c>
      <c r="L12" s="67" t="str">
        <f>IFERROR(VLOOKUP($A12,'0-Saisie'!$B$46:$E$69,4,FALSE()),"À faire")</f>
        <v>Terminé</v>
      </c>
      <c r="M12" s="64" t="s">
        <v>447</v>
      </c>
      <c r="N12" s="63" t="s">
        <v>448</v>
      </c>
    </row>
    <row r="13" spans="1:14" ht="24" customHeight="1" x14ac:dyDescent="0.3">
      <c r="A13" s="68" t="s">
        <v>97</v>
      </c>
      <c r="B13" s="69" t="s">
        <v>449</v>
      </c>
      <c r="C13" s="70" t="s">
        <v>82</v>
      </c>
      <c r="D13" s="71"/>
      <c r="E13" s="65">
        <f>'4-Gantt'!D17</f>
        <v>5</v>
      </c>
      <c r="F13" s="65">
        <f>IFERROR(VLOOKUP(C13,$A$4:$G$26,7,FALSE()),0)</f>
        <v>12</v>
      </c>
      <c r="G13" s="65">
        <f t="shared" si="0"/>
        <v>17</v>
      </c>
      <c r="H13" s="65">
        <f t="shared" si="1"/>
        <v>13</v>
      </c>
      <c r="I13" s="65">
        <f>MIN(H14,H15)</f>
        <v>18</v>
      </c>
      <c r="J13" s="65">
        <f t="shared" si="2"/>
        <v>1</v>
      </c>
      <c r="K13" s="66" t="str">
        <f t="shared" si="3"/>
        <v/>
      </c>
      <c r="L13" s="67" t="str">
        <f>IFERROR(VLOOKUP($A13,'0-Saisie'!$B$46:$E$69,4,FALSE()),"À faire")</f>
        <v>Terminé</v>
      </c>
      <c r="M13" s="71" t="s">
        <v>450</v>
      </c>
      <c r="N13" s="69" t="s">
        <v>451</v>
      </c>
    </row>
    <row r="14" spans="1:14" ht="24" customHeight="1" x14ac:dyDescent="0.3">
      <c r="A14" s="62" t="s">
        <v>100</v>
      </c>
      <c r="B14" s="63" t="s">
        <v>452</v>
      </c>
      <c r="C14" s="70" t="s">
        <v>97</v>
      </c>
      <c r="D14" s="64"/>
      <c r="E14" s="65">
        <f>'4-Gantt'!D18</f>
        <v>4</v>
      </c>
      <c r="F14" s="65">
        <f>IFERROR(VLOOKUP(C14,$A$4:$G$26,7,FALSE()),0)</f>
        <v>17</v>
      </c>
      <c r="G14" s="65">
        <f t="shared" si="0"/>
        <v>21</v>
      </c>
      <c r="H14" s="65">
        <f t="shared" si="1"/>
        <v>18</v>
      </c>
      <c r="I14" s="65">
        <f>H16</f>
        <v>22</v>
      </c>
      <c r="J14" s="65">
        <f t="shared" si="2"/>
        <v>1</v>
      </c>
      <c r="K14" s="66" t="str">
        <f t="shared" si="3"/>
        <v/>
      </c>
      <c r="L14" s="67" t="str">
        <f>IFERROR(VLOOKUP($A14,'0-Saisie'!$B$46:$E$69,4,FALSE()),"À faire")</f>
        <v>Terminé</v>
      </c>
      <c r="M14" s="64" t="s">
        <v>442</v>
      </c>
      <c r="N14" s="63" t="s">
        <v>453</v>
      </c>
    </row>
    <row r="15" spans="1:14" ht="24" customHeight="1" x14ac:dyDescent="0.3">
      <c r="A15" s="68" t="s">
        <v>103</v>
      </c>
      <c r="B15" s="69" t="s">
        <v>454</v>
      </c>
      <c r="C15" s="70" t="s">
        <v>97</v>
      </c>
      <c r="D15" s="71"/>
      <c r="E15" s="65">
        <f>'4-Gantt'!D19</f>
        <v>3</v>
      </c>
      <c r="F15" s="65">
        <f>IFERROR(VLOOKUP(C15,$A$4:$G$26,7,FALSE()),0)</f>
        <v>17</v>
      </c>
      <c r="G15" s="65">
        <f t="shared" si="0"/>
        <v>20</v>
      </c>
      <c r="H15" s="65">
        <f t="shared" si="1"/>
        <v>60</v>
      </c>
      <c r="I15" s="72">
        <f>$E$29</f>
        <v>63</v>
      </c>
      <c r="J15" s="65">
        <f t="shared" si="2"/>
        <v>43</v>
      </c>
      <c r="K15" s="66" t="str">
        <f t="shared" si="3"/>
        <v/>
      </c>
      <c r="L15" s="67" t="str">
        <f>IFERROR(VLOOKUP($A15,'0-Saisie'!$B$46:$E$69,4,FALSE()),"À faire")</f>
        <v>Terminé</v>
      </c>
      <c r="M15" s="71" t="s">
        <v>447</v>
      </c>
      <c r="N15" s="69" t="s">
        <v>455</v>
      </c>
    </row>
    <row r="16" spans="1:14" ht="24" customHeight="1" x14ac:dyDescent="0.3">
      <c r="A16" s="62" t="s">
        <v>106</v>
      </c>
      <c r="B16" s="63" t="s">
        <v>456</v>
      </c>
      <c r="C16" s="70" t="s">
        <v>100</v>
      </c>
      <c r="D16" s="70" t="s">
        <v>91</v>
      </c>
      <c r="E16" s="65">
        <f>'4-Gantt'!D20</f>
        <v>5</v>
      </c>
      <c r="F16" s="65">
        <f>IFERROR(MAX(VLOOKUP(C16,$A$4:$G$26,7,FALSE()),VLOOKUP(D16,$A$4:$G$26,7,FALSE())),0)</f>
        <v>22</v>
      </c>
      <c r="G16" s="65">
        <f t="shared" si="0"/>
        <v>27</v>
      </c>
      <c r="H16" s="65">
        <f t="shared" si="1"/>
        <v>22</v>
      </c>
      <c r="I16" s="65">
        <f>MIN(H18,H23)</f>
        <v>27</v>
      </c>
      <c r="J16" s="65">
        <f t="shared" si="2"/>
        <v>0</v>
      </c>
      <c r="K16" s="66" t="str">
        <f t="shared" si="3"/>
        <v>CRITIQUE</v>
      </c>
      <c r="L16" s="67" t="str">
        <f>IFERROR(VLOOKUP($A16,'0-Saisie'!$B$46:$E$69,4,FALSE()),"À faire")</f>
        <v>Terminé</v>
      </c>
      <c r="M16" s="64" t="s">
        <v>431</v>
      </c>
      <c r="N16" s="63" t="s">
        <v>457</v>
      </c>
    </row>
    <row r="17" spans="1:14" ht="24" customHeight="1" x14ac:dyDescent="0.3">
      <c r="A17" s="68" t="s">
        <v>109</v>
      </c>
      <c r="B17" s="69" t="s">
        <v>458</v>
      </c>
      <c r="C17" s="70" t="s">
        <v>91</v>
      </c>
      <c r="D17" s="70" t="s">
        <v>94</v>
      </c>
      <c r="E17" s="65">
        <f>'4-Gantt'!D22</f>
        <v>4</v>
      </c>
      <c r="F17" s="65">
        <f>IFERROR(MAX(VLOOKUP(C17,$A$4:$G$26,7,FALSE()),VLOOKUP(D17,$A$4:$G$26,7,FALSE())),0)</f>
        <v>22</v>
      </c>
      <c r="G17" s="65">
        <f t="shared" si="0"/>
        <v>26</v>
      </c>
      <c r="H17" s="65">
        <f t="shared" si="1"/>
        <v>23</v>
      </c>
      <c r="I17" s="65">
        <f>H18</f>
        <v>27</v>
      </c>
      <c r="J17" s="65">
        <f t="shared" si="2"/>
        <v>1</v>
      </c>
      <c r="K17" s="66" t="str">
        <f t="shared" si="3"/>
        <v/>
      </c>
      <c r="L17" s="67" t="str">
        <f>IFERROR(VLOOKUP($A17,'0-Saisie'!$B$46:$E$69,4,FALSE()),"À faire")</f>
        <v>Terminé</v>
      </c>
      <c r="M17" s="71" t="s">
        <v>442</v>
      </c>
      <c r="N17" s="69" t="s">
        <v>459</v>
      </c>
    </row>
    <row r="18" spans="1:14" ht="24" customHeight="1" x14ac:dyDescent="0.3">
      <c r="A18" s="62" t="s">
        <v>112</v>
      </c>
      <c r="B18" s="63" t="s">
        <v>113</v>
      </c>
      <c r="C18" s="70" t="s">
        <v>109</v>
      </c>
      <c r="D18" s="70" t="s">
        <v>106</v>
      </c>
      <c r="E18" s="65">
        <f>'4-Gantt'!D23</f>
        <v>8</v>
      </c>
      <c r="F18" s="65">
        <f>IFERROR(MAX(VLOOKUP(C18,$A$4:$G$26,7,FALSE()),VLOOKUP(D18,$A$4:$G$26,7,FALSE())),0)</f>
        <v>27</v>
      </c>
      <c r="G18" s="65">
        <f t="shared" si="0"/>
        <v>35</v>
      </c>
      <c r="H18" s="65">
        <f t="shared" si="1"/>
        <v>27</v>
      </c>
      <c r="I18" s="65">
        <f>MIN(H19,H20)</f>
        <v>35</v>
      </c>
      <c r="J18" s="65">
        <f t="shared" si="2"/>
        <v>0</v>
      </c>
      <c r="K18" s="66" t="str">
        <f t="shared" si="3"/>
        <v>CRITIQUE</v>
      </c>
      <c r="L18" s="67" t="str">
        <f>IFERROR(VLOOKUP($A18,'0-Saisie'!$B$46:$E$69,4,FALSE()),"À faire")</f>
        <v>Terminé</v>
      </c>
      <c r="M18" s="64" t="s">
        <v>460</v>
      </c>
      <c r="N18" s="63" t="s">
        <v>461</v>
      </c>
    </row>
    <row r="19" spans="1:14" ht="24" customHeight="1" x14ac:dyDescent="0.3">
      <c r="A19" s="68" t="s">
        <v>115</v>
      </c>
      <c r="B19" s="69" t="s">
        <v>116</v>
      </c>
      <c r="C19" s="70" t="s">
        <v>112</v>
      </c>
      <c r="D19" s="71"/>
      <c r="E19" s="65">
        <f>'4-Gantt'!D24</f>
        <v>4</v>
      </c>
      <c r="F19" s="65">
        <f>IFERROR(VLOOKUP(C19,$A$4:$G$26,7,FALSE()),0)</f>
        <v>35</v>
      </c>
      <c r="G19" s="65">
        <f t="shared" si="0"/>
        <v>39</v>
      </c>
      <c r="H19" s="65">
        <f t="shared" si="1"/>
        <v>49</v>
      </c>
      <c r="I19" s="65">
        <f>MIN(H21,H22,H23)</f>
        <v>53</v>
      </c>
      <c r="J19" s="65">
        <f t="shared" si="2"/>
        <v>14</v>
      </c>
      <c r="K19" s="66" t="str">
        <f t="shared" si="3"/>
        <v/>
      </c>
      <c r="L19" s="67" t="str">
        <f>IFERROR(VLOOKUP($A19,'0-Saisie'!$B$46:$E$69,4,FALSE()),"À faire")</f>
        <v>Terminé</v>
      </c>
      <c r="M19" s="71" t="s">
        <v>442</v>
      </c>
      <c r="N19" s="69" t="s">
        <v>462</v>
      </c>
    </row>
    <row r="20" spans="1:14" ht="24" customHeight="1" x14ac:dyDescent="0.3">
      <c r="A20" s="62" t="s">
        <v>118</v>
      </c>
      <c r="B20" s="63" t="s">
        <v>119</v>
      </c>
      <c r="C20" s="70" t="s">
        <v>112</v>
      </c>
      <c r="D20" s="64"/>
      <c r="E20" s="65">
        <f>'4-Gantt'!D26</f>
        <v>12</v>
      </c>
      <c r="F20" s="65">
        <f>IFERROR(VLOOKUP(C20,$A$4:$G$26,7,FALSE()),0)</f>
        <v>35</v>
      </c>
      <c r="G20" s="65">
        <f t="shared" si="0"/>
        <v>47</v>
      </c>
      <c r="H20" s="65">
        <f t="shared" si="1"/>
        <v>35</v>
      </c>
      <c r="I20" s="65">
        <f>H24</f>
        <v>47</v>
      </c>
      <c r="J20" s="65">
        <f t="shared" si="2"/>
        <v>0</v>
      </c>
      <c r="K20" s="66" t="str">
        <f t="shared" si="3"/>
        <v>CRITIQUE</v>
      </c>
      <c r="L20" s="67" t="str">
        <f>IFERROR(VLOOKUP($A20,'0-Saisie'!$B$46:$E$69,4,FALSE()),"À faire")</f>
        <v>Terminé</v>
      </c>
      <c r="M20" s="64" t="s">
        <v>463</v>
      </c>
      <c r="N20" s="63" t="s">
        <v>464</v>
      </c>
    </row>
    <row r="21" spans="1:14" ht="24" customHeight="1" x14ac:dyDescent="0.3">
      <c r="A21" s="68" t="s">
        <v>121</v>
      </c>
      <c r="B21" s="69" t="s">
        <v>122</v>
      </c>
      <c r="C21" s="70" t="s">
        <v>115</v>
      </c>
      <c r="D21" s="71"/>
      <c r="E21" s="65">
        <f>'4-Gantt'!D27</f>
        <v>5</v>
      </c>
      <c r="F21" s="65">
        <f>IFERROR(VLOOKUP(C21,$A$4:$G$26,7,FALSE()),0)</f>
        <v>39</v>
      </c>
      <c r="G21" s="65">
        <f t="shared" si="0"/>
        <v>44</v>
      </c>
      <c r="H21" s="65">
        <f t="shared" si="1"/>
        <v>58</v>
      </c>
      <c r="I21" s="72">
        <f>$E$29</f>
        <v>63</v>
      </c>
      <c r="J21" s="65">
        <f t="shared" si="2"/>
        <v>19</v>
      </c>
      <c r="K21" s="66" t="str">
        <f t="shared" si="3"/>
        <v/>
      </c>
      <c r="L21" s="67" t="str">
        <f>IFERROR(VLOOKUP($A21,'0-Saisie'!$B$46:$E$69,4,FALSE()),"À faire")</f>
        <v>Terminé</v>
      </c>
      <c r="M21" s="71" t="s">
        <v>431</v>
      </c>
      <c r="N21" s="69" t="s">
        <v>465</v>
      </c>
    </row>
    <row r="22" spans="1:14" ht="24" customHeight="1" x14ac:dyDescent="0.3">
      <c r="A22" s="62" t="s">
        <v>124</v>
      </c>
      <c r="B22" s="63" t="s">
        <v>466</v>
      </c>
      <c r="C22" s="70" t="s">
        <v>115</v>
      </c>
      <c r="D22" s="64"/>
      <c r="E22" s="65">
        <f>'4-Gantt'!D28</f>
        <v>2</v>
      </c>
      <c r="F22" s="65">
        <f>IFERROR(VLOOKUP(C22,$A$4:$G$26,7,FALSE()),0)</f>
        <v>39</v>
      </c>
      <c r="G22" s="65">
        <f t="shared" si="0"/>
        <v>41</v>
      </c>
      <c r="H22" s="65">
        <f t="shared" si="1"/>
        <v>61</v>
      </c>
      <c r="I22" s="72">
        <f>$E$29</f>
        <v>63</v>
      </c>
      <c r="J22" s="65">
        <f t="shared" si="2"/>
        <v>22</v>
      </c>
      <c r="K22" s="66" t="str">
        <f t="shared" si="3"/>
        <v/>
      </c>
      <c r="L22" s="67" t="str">
        <f>IFERROR(VLOOKUP($A22,'0-Saisie'!$B$46:$E$69,4,FALSE()),"À faire")</f>
        <v>Terminé</v>
      </c>
      <c r="M22" s="64" t="s">
        <v>467</v>
      </c>
      <c r="N22" s="63" t="s">
        <v>468</v>
      </c>
    </row>
    <row r="23" spans="1:14" ht="24" customHeight="1" x14ac:dyDescent="0.3">
      <c r="A23" s="68" t="s">
        <v>127</v>
      </c>
      <c r="B23" s="69" t="s">
        <v>390</v>
      </c>
      <c r="C23" s="70" t="s">
        <v>115</v>
      </c>
      <c r="D23" s="70" t="s">
        <v>106</v>
      </c>
      <c r="E23" s="65">
        <f>'4-Gantt'!D29</f>
        <v>8</v>
      </c>
      <c r="F23" s="65">
        <f>IFERROR(MAX(VLOOKUP(C23,$A$4:$G$26,7,FALSE()),VLOOKUP(D23,$A$4:$G$26,7,FALSE())),0)</f>
        <v>39</v>
      </c>
      <c r="G23" s="65">
        <f t="shared" si="0"/>
        <v>47</v>
      </c>
      <c r="H23" s="65">
        <f t="shared" si="1"/>
        <v>53</v>
      </c>
      <c r="I23" s="65">
        <f>H26</f>
        <v>61</v>
      </c>
      <c r="J23" s="65">
        <f t="shared" si="2"/>
        <v>14</v>
      </c>
      <c r="K23" s="66" t="str">
        <f t="shared" si="3"/>
        <v/>
      </c>
      <c r="L23" s="67" t="str">
        <f>IFERROR(VLOOKUP($A23,'0-Saisie'!$B$46:$E$69,4,FALSE()),"À faire")</f>
        <v>Terminé</v>
      </c>
      <c r="M23" s="71" t="s">
        <v>467</v>
      </c>
      <c r="N23" s="69" t="s">
        <v>469</v>
      </c>
    </row>
    <row r="24" spans="1:14" ht="24" customHeight="1" x14ac:dyDescent="0.3">
      <c r="A24" s="62" t="s">
        <v>130</v>
      </c>
      <c r="B24" s="63" t="s">
        <v>131</v>
      </c>
      <c r="C24" s="70" t="s">
        <v>118</v>
      </c>
      <c r="D24" s="64"/>
      <c r="E24" s="65">
        <f>'4-Gantt'!D31</f>
        <v>10</v>
      </c>
      <c r="F24" s="65">
        <f>IFERROR(VLOOKUP(C24,$A$4:$G$26,7,FALSE()),0)</f>
        <v>47</v>
      </c>
      <c r="G24" s="65">
        <f t="shared" si="0"/>
        <v>57</v>
      </c>
      <c r="H24" s="65">
        <f t="shared" si="1"/>
        <v>47</v>
      </c>
      <c r="I24" s="65">
        <f>H25</f>
        <v>57</v>
      </c>
      <c r="J24" s="65">
        <f t="shared" si="2"/>
        <v>0</v>
      </c>
      <c r="K24" s="66" t="str">
        <f t="shared" si="3"/>
        <v>CRITIQUE</v>
      </c>
      <c r="L24" s="67" t="str">
        <f>IFERROR(VLOOKUP($A24,'0-Saisie'!$B$46:$E$69,4,FALSE()),"À faire")</f>
        <v>Terminé</v>
      </c>
      <c r="M24" s="64" t="s">
        <v>470</v>
      </c>
      <c r="N24" s="63" t="s">
        <v>471</v>
      </c>
    </row>
    <row r="25" spans="1:14" ht="24" customHeight="1" x14ac:dyDescent="0.3">
      <c r="A25" s="68" t="s">
        <v>133</v>
      </c>
      <c r="B25" s="69" t="s">
        <v>134</v>
      </c>
      <c r="C25" s="70" t="s">
        <v>130</v>
      </c>
      <c r="D25" s="71"/>
      <c r="E25" s="65">
        <f>'4-Gantt'!D32</f>
        <v>4</v>
      </c>
      <c r="F25" s="65">
        <f>IFERROR(VLOOKUP(C25,$A$4:$G$26,7,FALSE()),0)</f>
        <v>57</v>
      </c>
      <c r="G25" s="65">
        <f t="shared" si="0"/>
        <v>61</v>
      </c>
      <c r="H25" s="65">
        <f t="shared" si="1"/>
        <v>57</v>
      </c>
      <c r="I25" s="65">
        <f>H26</f>
        <v>61</v>
      </c>
      <c r="J25" s="65">
        <f t="shared" si="2"/>
        <v>0</v>
      </c>
      <c r="K25" s="66" t="str">
        <f t="shared" si="3"/>
        <v>CRITIQUE</v>
      </c>
      <c r="L25" s="67" t="str">
        <f>IFERROR(VLOOKUP($A25,'0-Saisie'!$B$46:$E$69,4,FALSE()),"À faire")</f>
        <v>Terminé</v>
      </c>
      <c r="M25" s="71" t="s">
        <v>472</v>
      </c>
      <c r="N25" s="69" t="s">
        <v>473</v>
      </c>
    </row>
    <row r="26" spans="1:14" ht="24" customHeight="1" x14ac:dyDescent="0.3">
      <c r="A26" s="62" t="s">
        <v>136</v>
      </c>
      <c r="B26" s="63" t="s">
        <v>474</v>
      </c>
      <c r="C26" s="70" t="s">
        <v>133</v>
      </c>
      <c r="D26" s="70" t="s">
        <v>127</v>
      </c>
      <c r="E26" s="65">
        <f>'4-Gantt'!D33</f>
        <v>2</v>
      </c>
      <c r="F26" s="65">
        <f>IFERROR(MAX(VLOOKUP(C26,$A$4:$G$26,7,FALSE()),VLOOKUP(D26,$A$4:$G$26,7,FALSE())),0)</f>
        <v>61</v>
      </c>
      <c r="G26" s="65">
        <f t="shared" si="0"/>
        <v>63</v>
      </c>
      <c r="H26" s="65">
        <f t="shared" si="1"/>
        <v>61</v>
      </c>
      <c r="I26" s="72">
        <f>$E$29</f>
        <v>63</v>
      </c>
      <c r="J26" s="65">
        <f t="shared" si="2"/>
        <v>0</v>
      </c>
      <c r="K26" s="66" t="str">
        <f t="shared" si="3"/>
        <v>CRITIQUE</v>
      </c>
      <c r="L26" s="67" t="str">
        <f>IFERROR(VLOOKUP($A26,'0-Saisie'!$B$46:$E$69,4,FALSE()),"À faire")</f>
        <v>Terminé</v>
      </c>
      <c r="M26" s="64" t="s">
        <v>475</v>
      </c>
      <c r="N26" s="63" t="s">
        <v>476</v>
      </c>
    </row>
    <row r="27" spans="1:14" ht="24" customHeight="1" x14ac:dyDescent="0.3">
      <c r="A27" s="73" t="s">
        <v>139</v>
      </c>
      <c r="B27" s="74" t="s">
        <v>477</v>
      </c>
      <c r="C27" s="73" t="s">
        <v>91</v>
      </c>
      <c r="D27" s="73"/>
      <c r="E27" s="73">
        <f>'4-Gantt'!D35</f>
        <v>48</v>
      </c>
      <c r="F27" s="151" t="s">
        <v>478</v>
      </c>
      <c r="G27" s="151"/>
      <c r="H27" s="151"/>
      <c r="I27" s="151"/>
      <c r="J27" s="151"/>
      <c r="K27" s="151"/>
      <c r="L27" s="73" t="str">
        <f>IFERROR(VLOOKUP($A27,'0-Saisie'!$B$46:$E$69,4,FALSE()),"À faire")</f>
        <v>Terminé</v>
      </c>
      <c r="M27" s="73" t="s">
        <v>431</v>
      </c>
      <c r="N27" s="74" t="s">
        <v>479</v>
      </c>
    </row>
    <row r="29" spans="1:14" ht="15" customHeight="1" x14ac:dyDescent="0.3">
      <c r="A29" s="152" t="s">
        <v>480</v>
      </c>
      <c r="B29" s="152"/>
      <c r="C29" s="152"/>
      <c r="D29" s="152"/>
      <c r="E29" s="75">
        <f>MAX(G4:G26)</f>
        <v>63</v>
      </c>
      <c r="F29" s="153" t="str">
        <f>IFERROR("≈ "&amp;ROUND(E29/4.33,0)&amp;" mois (M-6 → M+"&amp;ROUND(E29/4.33-6,0)&amp;")","")</f>
        <v>≈ 15 mois (M-6 → M+9)</v>
      </c>
      <c r="G29" s="153"/>
      <c r="H29" s="153"/>
    </row>
    <row r="30" spans="1:14" ht="15" customHeight="1" x14ac:dyDescent="0.3">
      <c r="A30" s="143" t="s">
        <v>481</v>
      </c>
      <c r="B30" s="143"/>
      <c r="C30" s="143"/>
      <c r="D30" s="143"/>
      <c r="E30" s="76">
        <f>COUNTIF(K4:K26,"CRITIQUE")</f>
        <v>13</v>
      </c>
      <c r="F30" s="144" t="str">
        <f>"sur "&amp;COUNTA(A4:A26)&amp;" tâches du réseau séquentiel"</f>
        <v>sur 23 tâches du réseau séquentiel</v>
      </c>
      <c r="G30" s="144"/>
      <c r="H30" s="144"/>
    </row>
    <row r="31" spans="1:14" ht="15" customHeight="1" x14ac:dyDescent="0.3">
      <c r="A31" s="145" t="s">
        <v>482</v>
      </c>
      <c r="B31" s="145"/>
      <c r="C31" s="145"/>
      <c r="D31" s="145"/>
      <c r="E31" s="77">
        <f>IFERROR(ROUND(COUNTIF(L4:L27,"Terminé")/COUNTA(A4:A27)*100,0),0)</f>
        <v>100</v>
      </c>
      <c r="F31" s="146" t="str">
        <f>COUNTIF(L4:L27,"Terminé")&amp;" / "&amp;COUNTA(A4:A27)&amp;" terminées (incl. 1 transversale)"</f>
        <v>24 / 24 terminées (incl. 1 transversale)</v>
      </c>
      <c r="G31" s="146"/>
      <c r="H31" s="146"/>
    </row>
    <row r="32" spans="1:14" ht="15" customHeight="1" x14ac:dyDescent="0.3">
      <c r="A32" s="147" t="s">
        <v>483</v>
      </c>
      <c r="B32" s="147"/>
      <c r="C32" s="147"/>
      <c r="D32" s="147"/>
      <c r="E32" s="78">
        <f>IFERROR(SMALL(J4:J26,COUNTIF(J4:J26,0)+1),0)</f>
        <v>1</v>
      </c>
      <c r="F32" s="148" t="s">
        <v>484</v>
      </c>
      <c r="G32" s="148"/>
      <c r="H32" s="148"/>
    </row>
    <row r="34" spans="1:14" ht="15" customHeight="1" x14ac:dyDescent="0.3">
      <c r="A34" s="142" t="s">
        <v>485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</row>
    <row r="35" spans="1:14" ht="15" customHeight="1" x14ac:dyDescent="0.3">
      <c r="A35" s="140" t="s">
        <v>486</v>
      </c>
      <c r="B35" s="140"/>
      <c r="C35" s="140"/>
      <c r="D35" s="141" t="s">
        <v>487</v>
      </c>
      <c r="E35" s="141"/>
      <c r="F35" s="141"/>
      <c r="G35" s="141"/>
      <c r="H35" s="141"/>
      <c r="I35" s="141"/>
      <c r="J35" s="141"/>
      <c r="K35" s="141"/>
      <c r="L35" s="141"/>
      <c r="M35" s="141"/>
      <c r="N35" s="141"/>
    </row>
    <row r="36" spans="1:14" ht="15" customHeight="1" x14ac:dyDescent="0.3">
      <c r="A36" s="140" t="s">
        <v>488</v>
      </c>
      <c r="B36" s="140"/>
      <c r="C36" s="140"/>
      <c r="D36" s="141" t="s">
        <v>489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</row>
    <row r="37" spans="1:14" ht="15" customHeight="1" x14ac:dyDescent="0.3">
      <c r="A37" s="140" t="s">
        <v>490</v>
      </c>
      <c r="B37" s="140"/>
      <c r="C37" s="140"/>
      <c r="D37" s="141" t="s">
        <v>491</v>
      </c>
      <c r="E37" s="141"/>
      <c r="F37" s="141"/>
      <c r="G37" s="141"/>
      <c r="H37" s="141"/>
      <c r="I37" s="141"/>
      <c r="J37" s="141"/>
      <c r="K37" s="141"/>
      <c r="L37" s="141"/>
      <c r="M37" s="141"/>
      <c r="N37" s="141"/>
    </row>
    <row r="38" spans="1:14" ht="15" customHeight="1" x14ac:dyDescent="0.3">
      <c r="A38" s="140" t="s">
        <v>492</v>
      </c>
      <c r="B38" s="140"/>
      <c r="C38" s="140"/>
      <c r="D38" s="141" t="s">
        <v>493</v>
      </c>
      <c r="E38" s="141"/>
      <c r="F38" s="141"/>
      <c r="G38" s="141"/>
      <c r="H38" s="141"/>
      <c r="I38" s="141"/>
      <c r="J38" s="141"/>
      <c r="K38" s="141"/>
      <c r="L38" s="141"/>
      <c r="M38" s="141"/>
      <c r="N38" s="141"/>
    </row>
    <row r="39" spans="1:14" ht="15" customHeight="1" x14ac:dyDescent="0.3">
      <c r="A39" s="140" t="s">
        <v>494</v>
      </c>
      <c r="B39" s="140"/>
      <c r="C39" s="140"/>
      <c r="D39" s="141" t="s">
        <v>495</v>
      </c>
      <c r="E39" s="141"/>
      <c r="F39" s="141"/>
      <c r="G39" s="141"/>
      <c r="H39" s="141"/>
      <c r="I39" s="141"/>
      <c r="J39" s="141"/>
      <c r="K39" s="141"/>
      <c r="L39" s="141"/>
      <c r="M39" s="141"/>
      <c r="N39" s="141"/>
    </row>
    <row r="41" spans="1:14" ht="15" customHeight="1" x14ac:dyDescent="0.3">
      <c r="A41" s="137" t="s">
        <v>496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</row>
    <row r="42" spans="1:14" ht="15" customHeight="1" x14ac:dyDescent="0.3">
      <c r="A42" s="79"/>
      <c r="B42" s="138" t="s">
        <v>497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</row>
    <row r="43" spans="1:14" ht="15" customHeight="1" x14ac:dyDescent="0.3">
      <c r="A43" s="80"/>
      <c r="B43" s="139" t="s">
        <v>498</v>
      </c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</row>
    <row r="44" spans="1:14" ht="15" customHeight="1" x14ac:dyDescent="0.3">
      <c r="A44" s="81"/>
      <c r="B44" s="139" t="s">
        <v>499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</row>
    <row r="45" spans="1:14" ht="15" customHeight="1" x14ac:dyDescent="0.3">
      <c r="A45" s="82"/>
      <c r="B45" s="136" t="s">
        <v>500</v>
      </c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</row>
    <row r="46" spans="1:14" ht="15" customHeight="1" x14ac:dyDescent="0.3">
      <c r="A46" s="136" t="s">
        <v>501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</row>
    <row r="47" spans="1:14" ht="15" customHeight="1" x14ac:dyDescent="0.3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</row>
  </sheetData>
  <sheetProtection algorithmName="SHA-512" hashValue="57W/5IhB5h45IgGfo6+BIvFL7Z+squ94vvvlvrGduwocxmBpTMy6oyLQAfqK7EWL3XEtscc4JfAHiLEaq2ffog==" saltValue="+INDIa6T+kjsVuXrQud9yA==" spinCount="100000" sheet="1" objects="1" scenarios="1"/>
  <mergeCells count="28">
    <mergeCell ref="A1:N1"/>
    <mergeCell ref="A2:N2"/>
    <mergeCell ref="F27:K27"/>
    <mergeCell ref="A29:D29"/>
    <mergeCell ref="F29:H29"/>
    <mergeCell ref="A30:D30"/>
    <mergeCell ref="F30:H30"/>
    <mergeCell ref="A31:D31"/>
    <mergeCell ref="F31:H31"/>
    <mergeCell ref="A32:D32"/>
    <mergeCell ref="F32:H32"/>
    <mergeCell ref="A34:N34"/>
    <mergeCell ref="A35:C35"/>
    <mergeCell ref="D35:N35"/>
    <mergeCell ref="A36:C36"/>
    <mergeCell ref="D36:N36"/>
    <mergeCell ref="A37:C37"/>
    <mergeCell ref="D37:N37"/>
    <mergeCell ref="A38:C38"/>
    <mergeCell ref="D38:N38"/>
    <mergeCell ref="A39:C39"/>
    <mergeCell ref="D39:N39"/>
    <mergeCell ref="A46:N47"/>
    <mergeCell ref="A41:N41"/>
    <mergeCell ref="B42:N42"/>
    <mergeCell ref="B43:N43"/>
    <mergeCell ref="B44:N44"/>
    <mergeCell ref="B45:N45"/>
  </mergeCells>
  <conditionalFormatting sqref="A4:J26">
    <cfRule type="expression" dxfId="4" priority="3">
      <formula>$K4="CRITIQUE"</formula>
    </cfRule>
  </conditionalFormatting>
  <conditionalFormatting sqref="J4:J26">
    <cfRule type="cellIs" dxfId="3" priority="13" operator="equal">
      <formula>0</formula>
    </cfRule>
  </conditionalFormatting>
  <conditionalFormatting sqref="K4:K26">
    <cfRule type="cellIs" dxfId="2" priority="2" operator="equal">
      <formula>"CRITIQUE"</formula>
    </cfRule>
  </conditionalFormatting>
  <conditionalFormatting sqref="L4:L27">
    <cfRule type="cellIs" dxfId="1" priority="14" operator="equal">
      <formula>"Terminé"</formula>
    </cfRule>
    <cfRule type="cellIs" dxfId="0" priority="15" operator="equal">
      <formula>"En cours"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9"/>
  <sheetViews>
    <sheetView showGridLines="0" zoomScale="85" zoomScaleNormal="85" workbookViewId="0"/>
  </sheetViews>
  <sheetFormatPr baseColWidth="10" defaultColWidth="8.6640625" defaultRowHeight="14.4" x14ac:dyDescent="0.3"/>
  <cols>
    <col min="1" max="1" width="51" customWidth="1"/>
    <col min="2" max="2" width="120" customWidth="1"/>
  </cols>
  <sheetData>
    <row r="1" spans="1:7" ht="20.25" customHeight="1" x14ac:dyDescent="0.35">
      <c r="A1" s="42" t="s">
        <v>502</v>
      </c>
    </row>
    <row r="3" spans="1:7" ht="15" customHeight="1" x14ac:dyDescent="0.3">
      <c r="A3" s="83" t="s">
        <v>503</v>
      </c>
    </row>
    <row r="5" spans="1:7" ht="14.25" customHeight="1" x14ac:dyDescent="0.3">
      <c r="A5" t="s">
        <v>504</v>
      </c>
      <c r="B5" s="155" t="str">
        <f>IF('2-Mon Projet'!D11="Creation ex-nihilo","Création ex-nihilo : durée standard, attention à la trésorerie.","Autre mode : ajuster les délais et rôles.")</f>
        <v>Création ex-nihilo : durée standard, attention à la trésorerie.</v>
      </c>
      <c r="C5" s="155"/>
      <c r="D5" s="155"/>
      <c r="E5" s="155"/>
      <c r="F5" s="155"/>
      <c r="G5" s="155"/>
    </row>
    <row r="6" spans="1:7" ht="54.75" customHeight="1" x14ac:dyDescent="0.3">
      <c r="A6" t="s">
        <v>505</v>
      </c>
      <c r="B6" s="155" t="str">
        <f>IF('2-Mon Projet'!D26=0,"MODE SOLO : pas de recrutement prévu.","RH ACTIVE :"&amp;CHAR(10)&amp;"- Grille 2026 : collaborateur DCG min 26 548€ brut + 45% ≈ 38 500€ coût/an"&amp;CHAR(10)&amp;"- Recrutement : tensions élevées (~85%) ⇒ prévoir 10–12 sem"&amp;CHAR(10)&amp;"- AI Act : clause/parcours formation IA (AI literacy 02/02/2025)")</f>
        <v>RH ACTIVE :
- Grille 2026 : collaborateur DCG min 26 548€ brut + 45% ≈ 38 500€ coût/an
- Recrutement : tensions élevées (~85%) ⇒ prévoir 10–12 sem
- AI Act : clause/parcours formation IA (AI literacy 02/02/2025)</v>
      </c>
      <c r="C6" s="155"/>
      <c r="D6" s="155"/>
      <c r="E6" s="155"/>
      <c r="F6" s="155"/>
      <c r="G6" s="155"/>
    </row>
    <row r="7" spans="1:7" ht="14.25" customHeight="1" x14ac:dyDescent="0.3">
      <c r="A7" t="s">
        <v>506</v>
      </c>
      <c r="B7" s="155" t="s">
        <v>507</v>
      </c>
      <c r="C7" s="155"/>
      <c r="D7" s="155"/>
      <c r="E7" s="155"/>
      <c r="F7" s="155"/>
      <c r="G7" s="155"/>
    </row>
    <row r="8" spans="1:7" ht="14.25" customHeight="1" x14ac:dyDescent="0.3">
      <c r="A8" t="s">
        <v>508</v>
      </c>
      <c r="B8" s="155" t="str">
        <f>IFERROR(IF(VLOOKUP("2.4",'0-Saisie'!$B$46:$E$69,4,FALSE())="Terminé","OK — plateforme/solution désignée + tests réception effectués (échéance réception 01/09/2026).",VLOOKUP("2.4",'0-Saisie'!$B$46:$E$69,4,FALSE())&amp;" — Désigner plateforme/solution avant 01/09/2026 (réception obligatoire)."),"A faire — Désigner plateforme/solution avant 01/09/2026 (réception obligatoire).")</f>
        <v>OK — plateforme/solution désignée + tests réception effectués (échéance réception 01/09/2026).</v>
      </c>
      <c r="C8" s="155"/>
      <c r="D8" s="155"/>
      <c r="E8" s="155"/>
      <c r="F8" s="155"/>
      <c r="G8" s="155"/>
    </row>
    <row r="9" spans="1:7" ht="14.25" customHeight="1" x14ac:dyDescent="0.3">
      <c r="A9" t="s">
        <v>509</v>
      </c>
      <c r="B9" s="155" t="str">
        <f>IF('2-Mon Projet'!D48&lt;'2-Mon Projet'!D49,"ALERTE : trésorerie de sécurité insuffisante (viser ≥ "&amp;'2-Mon Projet'!D41&amp;" mois).","OK : trésorerie de sécurité couverte.")</f>
        <v>OK : trésorerie de sécurité couverte.</v>
      </c>
      <c r="C9" s="155"/>
      <c r="D9" s="155"/>
      <c r="E9" s="155"/>
      <c r="F9" s="155"/>
      <c r="G9" s="155"/>
    </row>
    <row r="11" spans="1:7" ht="15" customHeight="1" x14ac:dyDescent="0.3">
      <c r="A11" s="84" t="s">
        <v>510</v>
      </c>
    </row>
    <row r="13" spans="1:7" ht="14.25" customHeight="1" x14ac:dyDescent="0.3">
      <c r="A13" s="85" t="s">
        <v>511</v>
      </c>
      <c r="B13" s="86" t="s">
        <v>512</v>
      </c>
    </row>
    <row r="14" spans="1:7" ht="14.25" customHeight="1" x14ac:dyDescent="0.3">
      <c r="A14" s="85" t="s">
        <v>513</v>
      </c>
      <c r="B14" s="86" t="s">
        <v>514</v>
      </c>
    </row>
    <row r="15" spans="1:7" ht="14.25" customHeight="1" x14ac:dyDescent="0.3">
      <c r="A15" s="85" t="s">
        <v>515</v>
      </c>
      <c r="B15" s="86" t="s">
        <v>516</v>
      </c>
    </row>
    <row r="16" spans="1:7" ht="14.25" customHeight="1" x14ac:dyDescent="0.3">
      <c r="A16" s="85" t="s">
        <v>517</v>
      </c>
      <c r="B16" s="86" t="s">
        <v>518</v>
      </c>
    </row>
    <row r="17" spans="1:7" ht="14.25" customHeight="1" x14ac:dyDescent="0.3">
      <c r="A17" s="87"/>
      <c r="B17" s="86"/>
    </row>
    <row r="19" spans="1:7" ht="15" customHeight="1" x14ac:dyDescent="0.3">
      <c r="A19" s="88" t="s">
        <v>519</v>
      </c>
    </row>
    <row r="21" spans="1:7" ht="14.25" customHeight="1" x14ac:dyDescent="0.3">
      <c r="A21" t="s">
        <v>520</v>
      </c>
      <c r="B21" t="s">
        <v>521</v>
      </c>
    </row>
    <row r="22" spans="1:7" ht="14.25" customHeight="1" x14ac:dyDescent="0.3">
      <c r="A22" t="s">
        <v>520</v>
      </c>
      <c r="B22" t="s">
        <v>522</v>
      </c>
    </row>
    <row r="23" spans="1:7" ht="14.25" customHeight="1" x14ac:dyDescent="0.3">
      <c r="A23" t="s">
        <v>523</v>
      </c>
      <c r="B23" t="s">
        <v>524</v>
      </c>
    </row>
    <row r="24" spans="1:7" ht="14.25" customHeight="1" x14ac:dyDescent="0.3">
      <c r="A24" t="s">
        <v>523</v>
      </c>
      <c r="B24" t="s">
        <v>525</v>
      </c>
    </row>
    <row r="25" spans="1:7" ht="14.25" customHeight="1" x14ac:dyDescent="0.3">
      <c r="A25" t="s">
        <v>526</v>
      </c>
      <c r="B25" t="s">
        <v>527</v>
      </c>
    </row>
    <row r="26" spans="1:7" ht="14.25" customHeight="1" x14ac:dyDescent="0.3">
      <c r="A26" t="s">
        <v>528</v>
      </c>
      <c r="B26" t="s">
        <v>529</v>
      </c>
    </row>
    <row r="27" spans="1:7" ht="14.25" customHeight="1" x14ac:dyDescent="0.3">
      <c r="A27" s="125"/>
      <c r="B27" s="125"/>
      <c r="C27" s="125"/>
      <c r="D27" s="125"/>
      <c r="E27" s="125"/>
      <c r="F27" s="125"/>
      <c r="G27" s="125"/>
    </row>
    <row r="28" spans="1:7" ht="14.25" customHeight="1" x14ac:dyDescent="0.3">
      <c r="A28" s="154"/>
      <c r="B28" s="154"/>
      <c r="C28" s="154"/>
      <c r="D28" s="154"/>
      <c r="E28" s="154"/>
      <c r="F28" s="154"/>
      <c r="G28" s="154"/>
    </row>
    <row r="29" spans="1:7" ht="15" customHeight="1" x14ac:dyDescent="0.3">
      <c r="A29" s="89" t="s">
        <v>530</v>
      </c>
    </row>
    <row r="31" spans="1:7" ht="14.25" customHeight="1" x14ac:dyDescent="0.3">
      <c r="A31" t="s">
        <v>376</v>
      </c>
      <c r="B31" t="s">
        <v>531</v>
      </c>
    </row>
    <row r="32" spans="1:7" ht="14.25" customHeight="1" x14ac:dyDescent="0.3">
      <c r="A32" t="s">
        <v>95</v>
      </c>
      <c r="B32" t="s">
        <v>532</v>
      </c>
    </row>
    <row r="33" spans="1:2" ht="14.25" customHeight="1" x14ac:dyDescent="0.3">
      <c r="A33" t="s">
        <v>101</v>
      </c>
      <c r="B33" t="s">
        <v>533</v>
      </c>
    </row>
    <row r="34" spans="1:2" ht="14.25" customHeight="1" x14ac:dyDescent="0.3">
      <c r="A34" t="s">
        <v>534</v>
      </c>
      <c r="B34" t="s">
        <v>535</v>
      </c>
    </row>
    <row r="35" spans="1:2" ht="14.25" customHeight="1" x14ac:dyDescent="0.3">
      <c r="A35" t="s">
        <v>536</v>
      </c>
      <c r="B35" t="s">
        <v>537</v>
      </c>
    </row>
    <row r="36" spans="1:2" ht="14.25" customHeight="1" x14ac:dyDescent="0.3">
      <c r="A36" t="s">
        <v>538</v>
      </c>
      <c r="B36" t="s">
        <v>539</v>
      </c>
    </row>
    <row r="39" spans="1:2" ht="14.25" customHeight="1" x14ac:dyDescent="0.3">
      <c r="A39" s="57" t="s">
        <v>540</v>
      </c>
      <c r="B39" t="s">
        <v>541</v>
      </c>
    </row>
  </sheetData>
  <sheetProtection algorithmName="SHA-512" hashValue="TfpBl+DqmdsaweuU9EBcBhY0FaJrNxzHVtLaw4TpK6UGKhJtMOVa1bo01W+vnj/MMsgJneDfh5NjjCY+re8rhQ==" saltValue="bBY9VIh4J+u+lvf/cfJvxA==" spinCount="100000" sheet="1" objects="1" scenarios="1"/>
  <mergeCells count="7">
    <mergeCell ref="A27:G27"/>
    <mergeCell ref="A28:G28"/>
    <mergeCell ref="B5:G5"/>
    <mergeCell ref="B6:G6"/>
    <mergeCell ref="B7:G7"/>
    <mergeCell ref="B8:G8"/>
    <mergeCell ref="B9:G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0-Saisie</vt:lpstr>
      <vt:lpstr>1-Mode emploi</vt:lpstr>
      <vt:lpstr>2-Mon Projet</vt:lpstr>
      <vt:lpstr>3-Periodes</vt:lpstr>
      <vt:lpstr>4-Gantt</vt:lpstr>
      <vt:lpstr>5-PERT</vt:lpstr>
      <vt:lpstr>6-Alertes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Adel BARKALLAH</cp:lastModifiedBy>
  <cp:revision>0</cp:revision>
  <dcterms:created xsi:type="dcterms:W3CDTF">2025-12-25T12:51:28Z</dcterms:created>
  <dcterms:modified xsi:type="dcterms:W3CDTF">2026-02-25T13:05:36Z</dcterms:modified>
  <dc:language>en-US</dc:language>
</cp:coreProperties>
</file>