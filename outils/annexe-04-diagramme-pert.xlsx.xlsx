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27840" yWindow="1035" windowWidth="21600" windowHeight="11235" tabRatio="500" firstSheet="0" activeTab="5" autoFilterDateGrouping="1"/>
  </bookViews>
  <sheets>
    <sheet xmlns:r="http://schemas.openxmlformats.org/officeDocument/2006/relationships" name="0-Saisie" sheetId="1" state="visible" r:id="rId1"/>
    <sheet xmlns:r="http://schemas.openxmlformats.org/officeDocument/2006/relationships" name="1-Mode emploi" sheetId="2" state="visible" r:id="rId2"/>
    <sheet xmlns:r="http://schemas.openxmlformats.org/officeDocument/2006/relationships" name="2-Mon Projet" sheetId="3" state="visible" r:id="rId3"/>
    <sheet xmlns:r="http://schemas.openxmlformats.org/officeDocument/2006/relationships" name="3-Periodes" sheetId="4" state="visible" r:id="rId4"/>
    <sheet xmlns:r="http://schemas.openxmlformats.org/officeDocument/2006/relationships" name="4-Gantt" sheetId="5" state="visible" r:id="rId5"/>
    <sheet xmlns:r="http://schemas.openxmlformats.org/officeDocument/2006/relationships" name="5-PERT Suivi" sheetId="6" state="visible" r:id="rId6"/>
    <sheet xmlns:r="http://schemas.openxmlformats.org/officeDocument/2006/relationships" name="6-Alerte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 ##0 &quot;€&quot;"/>
  </numFmts>
  <fonts count="56">
    <font>
      <name val="Calibri"/>
      <charset val="1"/>
      <family val="2"/>
      <color theme="1"/>
      <sz val="11"/>
    </font>
    <font>
      <name val="Cambria"/>
      <charset val="1"/>
      <b val="1"/>
      <color rgb="FF1E40AF"/>
      <sz val="22"/>
    </font>
    <font>
      <name val="Cambria"/>
      <charset val="1"/>
      <i val="1"/>
      <color rgb="FF64748B"/>
      <sz val="12"/>
    </font>
    <font>
      <name val="Cambria"/>
      <charset val="1"/>
      <b val="1"/>
      <color rgb="FFFFFFFF"/>
      <sz val="14"/>
    </font>
    <font>
      <name val="Cambria"/>
      <charset val="1"/>
      <sz val="11"/>
    </font>
    <font>
      <name val="Cambria"/>
      <charset val="1"/>
      <b val="1"/>
      <color rgb="FF0000FF"/>
      <sz val="11"/>
    </font>
    <font>
      <name val="Cambria"/>
      <charset val="1"/>
      <b val="1"/>
      <color rgb="FF1E40AF"/>
      <sz val="11"/>
    </font>
    <font>
      <name val="Cambria"/>
      <charset val="1"/>
      <b val="1"/>
      <color rgb="FF059669"/>
      <sz val="11"/>
    </font>
    <font>
      <name val="Cambria"/>
      <charset val="1"/>
      <b val="1"/>
      <color rgb="FFEA580C"/>
      <sz val="11"/>
    </font>
    <font>
      <name val="Cambria"/>
      <charset val="1"/>
      <b val="1"/>
      <color rgb="FFDC2626"/>
      <sz val="11"/>
    </font>
    <font>
      <name val="Cambria"/>
      <charset val="1"/>
      <b val="1"/>
      <color rgb="FF64748B"/>
      <sz val="11"/>
    </font>
    <font>
      <name val="Cambria"/>
      <charset val="1"/>
      <b val="1"/>
      <sz val="11"/>
    </font>
    <font>
      <name val="Cambria"/>
      <charset val="1"/>
      <b val="1"/>
      <color rgb="FFFFFFFF"/>
      <sz val="12"/>
    </font>
    <font>
      <name val="Cambria"/>
      <charset val="1"/>
      <b val="1"/>
      <color rgb="FF1E40AF"/>
      <sz val="18"/>
    </font>
    <font>
      <name val="Cambria"/>
      <charset val="1"/>
      <i val="1"/>
      <color rgb="FF64748B"/>
      <sz val="11"/>
    </font>
    <font>
      <name val="Cambria"/>
      <charset val="1"/>
      <i val="1"/>
      <color rgb="FF64748B"/>
      <sz val="9"/>
    </font>
    <font>
      <name val="Cambria"/>
      <charset val="1"/>
      <b val="1"/>
      <color rgb="FF1E40AF"/>
      <sz val="14"/>
    </font>
    <font>
      <name val="Cambria"/>
      <charset val="1"/>
      <b val="1"/>
      <color rgb="FF1E40AF"/>
      <sz val="16"/>
    </font>
    <font>
      <name val="Cambria"/>
      <charset val="1"/>
      <color rgb="FFDC2626"/>
      <sz val="11"/>
    </font>
    <font>
      <name val="Cambria"/>
      <charset val="1"/>
      <color rgb="FFEA580C"/>
      <sz val="11"/>
    </font>
    <font>
      <name val="Cambria"/>
      <charset val="1"/>
      <b val="1"/>
      <color rgb="FFFFFFFF"/>
      <sz val="9"/>
    </font>
    <font>
      <name val="Cambria"/>
      <charset val="1"/>
      <b val="1"/>
      <color rgb="FFFFFFFF"/>
      <sz val="8"/>
    </font>
    <font>
      <name val="Cambria"/>
      <charset val="1"/>
      <i val="1"/>
      <color rgb="FF64748B"/>
      <sz val="10"/>
    </font>
    <font>
      <name val="Cambria"/>
      <charset val="1"/>
      <b val="1"/>
      <color rgb="FFFFFFFF"/>
      <sz val="10"/>
    </font>
    <font>
      <name val="Cambria"/>
      <charset val="1"/>
      <b val="1"/>
      <sz val="12"/>
    </font>
    <font>
      <name val="Cambria"/>
      <charset val="1"/>
      <b val="1"/>
      <color rgb="FF1E40AF"/>
      <sz val="12"/>
    </font>
    <font>
      <name val="Cambria"/>
      <charset val="1"/>
      <i val="1"/>
      <sz val="11"/>
    </font>
    <font>
      <b val="1"/>
      <color rgb="FFFFFFFF"/>
      <sz val="16"/>
    </font>
    <font>
      <b val="1"/>
      <color rgb="FF111827"/>
    </font>
    <font>
      <b val="1"/>
    </font>
    <font>
      <b val="1"/>
      <color rgb="FFFFFFFF"/>
      <sz val="11"/>
    </font>
    <font>
      <color rgb="FF0000FF"/>
    </font>
    <font>
      <color rgb="FF065F46"/>
    </font>
    <font>
      <b val="1"/>
      <color rgb="FFB91C1C"/>
    </font>
    <font>
      <color rgb="FF111827"/>
    </font>
    <font>
      <i val="1"/>
      <color rgb="FF374151"/>
      <sz val="9"/>
    </font>
    <font>
      <b val="1"/>
      <sz val="12"/>
    </font>
    <font>
      <b val="1"/>
      <sz val="11"/>
    </font>
    <font/>
    <font>
      <i val="1"/>
      <color rgb="006B7280"/>
    </font>
    <font>
      <b val="1"/>
      <color rgb="001E40AF"/>
      <sz val="14"/>
    </font>
    <font>
      <i val="1"/>
      <color rgb="006B7280"/>
      <sz val="10"/>
    </font>
    <font>
      <b val="1"/>
      <color rgb="00FFFFFF"/>
      <sz val="11"/>
    </font>
    <font>
      <b val="1"/>
      <sz val="10"/>
    </font>
    <font>
      <b val="1"/>
      <color rgb="00DC2626"/>
    </font>
    <font>
      <sz val="10"/>
    </font>
    <font>
      <b val="1"/>
      <color rgb="00FFFFFF"/>
      <sz val="12"/>
    </font>
    <font>
      <color rgb="00DC2626"/>
      <sz val="10"/>
    </font>
    <font>
      <b val="1"/>
      <color rgb="00166534"/>
      <sz val="10"/>
    </font>
    <font>
      <b val="1"/>
      <color rgb="00374151"/>
      <sz val="11"/>
    </font>
    <font>
      <i val="1"/>
      <color rgb="00059669"/>
      <sz val="10"/>
    </font>
    <font>
      <b val="1"/>
      <color rgb="00B45309"/>
      <sz val="10"/>
    </font>
    <font>
      <i val="1"/>
      <color rgb="006B7280"/>
      <sz val="9"/>
    </font>
    <font>
      <b val="1"/>
      <color rgb="00DC2626"/>
      <sz val="10"/>
    </font>
    <font>
      <i val="1"/>
      <color rgb="00DC2626"/>
      <sz val="9"/>
    </font>
    <font>
      <b val="1"/>
      <color rgb="00FF0000"/>
      <sz val="10"/>
    </font>
  </fonts>
  <fills count="61">
    <fill>
      <patternFill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059669"/>
        <bgColor rgb="FF008080"/>
      </patternFill>
    </fill>
    <fill>
      <patternFill patternType="solid">
        <fgColor rgb="FFEA580C"/>
        <bgColor rgb="FFF97316"/>
      </patternFill>
    </fill>
    <fill>
      <patternFill patternType="solid">
        <fgColor rgb="FF7C3AED"/>
        <bgColor rgb="FF8B5CF6"/>
      </patternFill>
    </fill>
    <fill>
      <patternFill patternType="solid">
        <fgColor rgb="FFFFFF00"/>
        <bgColor rgb="FFFFFF00"/>
      </patternFill>
    </fill>
    <fill>
      <patternFill patternType="solid">
        <fgColor rgb="FFDBEAFE"/>
        <bgColor rgb="FFE2E8F0"/>
      </patternFill>
    </fill>
    <fill>
      <patternFill patternType="solid">
        <fgColor rgb="FFD1FAE5"/>
        <bgColor rgb="FFDBEAFE"/>
      </patternFill>
    </fill>
    <fill>
      <patternFill patternType="solid">
        <fgColor rgb="FFFED7AA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F1F5F9"/>
        <bgColor rgb="FFEDE9FE"/>
      </patternFill>
    </fill>
    <fill>
      <patternFill patternType="solid">
        <fgColor rgb="FF64748B"/>
        <bgColor rgb="FF808080"/>
      </patternFill>
    </fill>
    <fill>
      <patternFill patternType="solid">
        <fgColor rgb="FFDC2626"/>
        <bgColor rgb="FFEA580C"/>
      </patternFill>
    </fill>
    <fill>
      <patternFill patternType="solid">
        <fgColor rgb="FF22C55E"/>
        <bgColor rgb="FF33CCCC"/>
      </patternFill>
    </fill>
    <fill>
      <patternFill patternType="solid">
        <fgColor rgb="FF3B82F6"/>
        <bgColor rgb="FF0066CC"/>
      </patternFill>
    </fill>
    <fill>
      <patternFill patternType="solid">
        <fgColor rgb="FFF97316"/>
        <bgColor rgb="FFEA580C"/>
      </patternFill>
    </fill>
    <fill>
      <patternFill patternType="solid">
        <fgColor rgb="FF8B5CF6"/>
        <bgColor rgb="FF7C3AED"/>
      </patternFill>
    </fill>
    <fill>
      <patternFill patternType="solid">
        <fgColor rgb="FFEDE9FE"/>
        <bgColor rgb="FFE2E8F0"/>
      </patternFill>
    </fill>
    <fill>
      <patternFill patternType="solid">
        <fgColor rgb="FFEAB308"/>
        <bgColor rgb="FFFF9900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0093C5FD"/>
        <bgColor rgb="0093C5FD"/>
      </patternFill>
    </fill>
    <fill>
      <patternFill patternType="solid">
        <fgColor rgb="0060A5FA"/>
        <bgColor rgb="0060A5FA"/>
      </patternFill>
    </fill>
    <fill>
      <patternFill patternType="solid">
        <fgColor rgb="003B82F6"/>
        <bgColor rgb="003B82F6"/>
      </patternFill>
    </fill>
    <fill>
      <patternFill patternType="solid">
        <fgColor rgb="002563EB"/>
        <bgColor rgb="002563EB"/>
      </patternFill>
    </fill>
    <fill>
      <patternFill patternType="solid">
        <fgColor rgb="001D4ED8"/>
        <bgColor rgb="001D4ED8"/>
      </patternFill>
    </fill>
    <fill>
      <patternFill patternType="solid">
        <fgColor rgb="001E40AF"/>
        <bgColor rgb="001E40AF"/>
      </patternFill>
    </fill>
    <fill>
      <patternFill patternType="solid">
        <fgColor rgb="007C3AED"/>
        <bgColor rgb="007C3AED"/>
      </patternFill>
    </fill>
    <fill>
      <patternFill patternType="solid">
        <fgColor rgb="00EF4444"/>
        <bgColor rgb="00EF4444"/>
      </patternFill>
    </fill>
    <fill>
      <patternFill patternType="solid">
        <fgColor rgb="0022C55E"/>
        <bgColor rgb="0022C55E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FFFF00"/>
        <bgColor rgb="00FFFF00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E5E7EB"/>
        <bgColor rgb="00E5E7EB"/>
      </patternFill>
    </fill>
    <fill>
      <patternFill patternType="solid">
        <fgColor rgb="0064748B"/>
        <bgColor rgb="0064748B"/>
      </patternFill>
    </fill>
    <fill>
      <patternFill patternType="solid">
        <fgColor rgb="00FB923C"/>
        <bgColor rgb="00FB923C"/>
      </patternFill>
    </fill>
    <fill>
      <patternFill patternType="solid">
        <fgColor rgb="00F87171"/>
        <bgColor rgb="00F87171"/>
      </patternFill>
    </fill>
    <fill>
      <patternFill patternType="solid">
        <fgColor rgb="00FBBF24"/>
        <bgColor rgb="00FBBF24"/>
      </patternFill>
    </fill>
    <fill>
      <patternFill patternType="solid">
        <fgColor rgb="00A78BFA"/>
        <bgColor rgb="00A78BFA"/>
      </patternFill>
    </fill>
    <fill>
      <patternFill patternType="solid">
        <fgColor rgb="00818CF8"/>
        <bgColor rgb="00818CF8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6B8E23"/>
        <bgColor rgb="006B8E23"/>
      </patternFill>
    </fill>
    <fill>
      <patternFill patternType="solid">
        <fgColor rgb="004169E1"/>
        <bgColor rgb="004169E1"/>
      </patternFill>
    </fill>
    <fill>
      <patternFill patternType="solid">
        <fgColor rgb="00FFD700"/>
        <bgColor rgb="00FFD700"/>
      </patternFill>
    </fill>
    <fill>
      <patternFill patternType="solid">
        <fgColor rgb="009370DB"/>
        <bgColor rgb="009370DB"/>
      </patternFill>
    </fill>
    <fill>
      <patternFill patternType="solid">
        <fgColor rgb="0000CED1"/>
        <bgColor rgb="0000CED1"/>
      </patternFill>
    </fill>
    <fill>
      <patternFill patternType="solid">
        <fgColor rgb="00FF0000"/>
        <bgColor rgb="00FF0000"/>
      </patternFill>
    </fill>
  </fills>
  <borders count="1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9">
    <xf numFmtId="0" fontId="0" fillId="0" borderId="0" pivotButton="0" quotePrefix="0" xfId="0"/>
    <xf numFmtId="0" fontId="5" fillId="6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1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12" fillId="4" borderId="0" pivotButton="0" quotePrefix="0" xfId="0"/>
    <xf numFmtId="0" fontId="12" fillId="13" borderId="0" pivotButton="0" quotePrefix="0" xfId="0"/>
    <xf numFmtId="0" fontId="12" fillId="12" borderId="0" pivotButton="0" quotePrefix="0" xfId="0"/>
    <xf numFmtId="2" fontId="6" fillId="7" borderId="0" pivotButton="0" quotePrefix="0" xfId="0"/>
    <xf numFmtId="0" fontId="6" fillId="7" borderId="0" pivotButton="0" quotePrefix="0" xfId="0"/>
    <xf numFmtId="0" fontId="16" fillId="7" borderId="0" pivotButton="0" quotePrefix="0" xfId="0"/>
    <xf numFmtId="0" fontId="17" fillId="0" borderId="0" pivotButton="0" quotePrefix="0" xfId="0"/>
    <xf numFmtId="0" fontId="11" fillId="9" borderId="0" pivotButton="0" quotePrefix="0" xfId="0"/>
    <xf numFmtId="0" fontId="0" fillId="7" borderId="0" pivotButton="0" quotePrefix="0" xfId="0"/>
    <xf numFmtId="0" fontId="9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7" fillId="0" borderId="0" pivotButton="0" quotePrefix="0" xfId="0"/>
    <xf numFmtId="0" fontId="11" fillId="8" borderId="0" pivotButton="0" quotePrefix="0" xfId="0"/>
    <xf numFmtId="0" fontId="11" fillId="7" borderId="0" pivotButton="0" quotePrefix="0" xfId="0"/>
    <xf numFmtId="0" fontId="11" fillId="18" borderId="0" pivotButton="0" quotePrefix="0" xfId="0"/>
    <xf numFmtId="0" fontId="20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/>
    </xf>
    <xf numFmtId="0" fontId="21" fillId="14" borderId="0" applyAlignment="1" pivotButton="0" quotePrefix="0" xfId="0">
      <alignment horizontal="center"/>
    </xf>
    <xf numFmtId="0" fontId="6" fillId="11" borderId="0" pivotButton="0" quotePrefix="0" xfId="0"/>
    <xf numFmtId="0" fontId="0" fillId="0" borderId="0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9" borderId="0" pivotButton="0" quotePrefix="0" xfId="0"/>
    <xf numFmtId="0" fontId="0" fillId="17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2" fillId="0" borderId="0" pivotButton="0" quotePrefix="0" xfId="0"/>
    <xf numFmtId="0" fontId="23" fillId="2" borderId="0" applyAlignment="1" pivotButton="0" quotePrefix="0" xfId="0">
      <alignment horizontal="center"/>
    </xf>
    <xf numFmtId="0" fontId="0" fillId="0" borderId="1" pivotButton="0" quotePrefix="0" xfId="0"/>
    <xf numFmtId="0" fontId="5" fillId="6" borderId="1" pivotButton="0" quotePrefix="0" xfId="0"/>
    <xf numFmtId="0" fontId="24" fillId="0" borderId="0" pivotButton="0" quotePrefix="0" xfId="0"/>
    <xf numFmtId="0" fontId="25" fillId="7" borderId="0" pivotButton="0" quotePrefix="0" xfId="0"/>
    <xf numFmtId="0" fontId="0" fillId="0" borderId="0" pivotButton="0" quotePrefix="0" xfId="0"/>
    <xf numFmtId="0" fontId="3" fillId="5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12" fillId="2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12" fillId="12" borderId="0" pivotButton="0" quotePrefix="0" xfId="0"/>
    <xf numFmtId="0" fontId="12" fillId="3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12" fillId="13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0" fillId="7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17" fillId="0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26" fillId="0" borderId="0" pivotButton="0" quotePrefix="0" xfId="0"/>
    <xf numFmtId="0" fontId="27" fillId="2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29" fillId="25" borderId="2" applyAlignment="1" pivotButton="0" quotePrefix="0" xfId="0">
      <alignment horizontal="left" vertical="center" wrapText="1"/>
    </xf>
    <xf numFmtId="0" fontId="0" fillId="25" borderId="2" applyAlignment="1" pivotButton="0" quotePrefix="0" xfId="0">
      <alignment horizontal="center" vertical="center" wrapText="1"/>
    </xf>
    <xf numFmtId="0" fontId="30" fillId="21" borderId="0" applyAlignment="1" pivotButton="0" quotePrefix="0" xfId="0">
      <alignment horizontal="left" vertical="center" wrapText="1"/>
    </xf>
    <xf numFmtId="0" fontId="29" fillId="22" borderId="2" applyAlignment="1" pivotButton="0" quotePrefix="0" xfId="0">
      <alignment horizontal="center" vertical="center" wrapText="1"/>
    </xf>
    <xf numFmtId="0" fontId="0" fillId="24" borderId="2" applyAlignment="1" pivotButton="0" quotePrefix="0" xfId="0">
      <alignment horizontal="left" vertical="center" wrapText="1"/>
    </xf>
    <xf numFmtId="0" fontId="31" fillId="23" borderId="2" applyAlignment="1" applyProtection="1" pivotButton="0" quotePrefix="0" xfId="0">
      <alignment horizontal="left" vertical="center" wrapText="1"/>
      <protection locked="0" hidden="0"/>
    </xf>
    <xf numFmtId="0" fontId="0" fillId="24" borderId="2" applyAlignment="1" pivotButton="0" quotePrefix="0" xfId="0">
      <alignment horizontal="center" vertical="center" wrapText="1"/>
    </xf>
    <xf numFmtId="0" fontId="0" fillId="24" borderId="2" pivotButton="0" quotePrefix="0" xfId="0"/>
    <xf numFmtId="0" fontId="31" fillId="23" borderId="2" applyAlignment="1" applyProtection="1" pivotButton="0" quotePrefix="0" xfId="0">
      <alignment horizontal="center" vertical="center" wrapText="1"/>
      <protection locked="0" hidden="0"/>
    </xf>
    <xf numFmtId="0" fontId="33" fillId="0" borderId="0" pivotButton="0" quotePrefix="0" xfId="0"/>
    <xf numFmtId="0" fontId="0" fillId="0" borderId="0" applyAlignment="1" pivotButton="0" quotePrefix="0" xfId="0">
      <alignment wrapText="1"/>
    </xf>
    <xf numFmtId="0" fontId="32" fillId="2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4" fillId="25" borderId="0" pivotButton="0" quotePrefix="0" xfId="0"/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left" vertical="center" wrapText="1"/>
    </xf>
    <xf numFmtId="0" fontId="25" fillId="7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36" fillId="13" borderId="0" pivotButton="0" quotePrefix="0" xfId="0"/>
    <xf numFmtId="0" fontId="0" fillId="7" borderId="0" applyAlignment="1" pivotButton="0" quotePrefix="0" xfId="0">
      <alignment wrapText="1"/>
    </xf>
    <xf numFmtId="0" fontId="36" fillId="4" borderId="0" pivotButton="0" quotePrefix="0" xfId="0"/>
    <xf numFmtId="0" fontId="36" fillId="12" borderId="0" pivotButton="0" quotePrefix="0" xfId="0"/>
    <xf numFmtId="0" fontId="3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34" fillId="7" borderId="0" applyAlignment="1" pivotButton="0" quotePrefix="0" xfId="0">
      <alignment vertical="top" wrapText="1"/>
    </xf>
    <xf numFmtId="0" fontId="29" fillId="36" borderId="2" applyAlignment="1" pivotButton="0" quotePrefix="0" xfId="0">
      <alignment horizontal="left" vertical="center" wrapText="1"/>
    </xf>
    <xf numFmtId="0" fontId="0" fillId="36" borderId="2" applyAlignment="1" pivotButton="0" quotePrefix="0" xfId="0">
      <alignment horizontal="center" vertical="center" wrapText="1"/>
    </xf>
    <xf numFmtId="0" fontId="4" fillId="40" borderId="7" pivotButton="0" quotePrefix="0" xfId="0"/>
    <xf numFmtId="0" fontId="45" fillId="0" borderId="0" pivotButton="0" quotePrefix="0" xfId="0"/>
    <xf numFmtId="0" fontId="4" fillId="36" borderId="7" pivotButton="0" quotePrefix="0" xfId="0"/>
    <xf numFmtId="0" fontId="4" fillId="37" borderId="7" pivotButton="0" quotePrefix="0" xfId="0"/>
    <xf numFmtId="0" fontId="4" fillId="41" borderId="7" pivotButton="0" quotePrefix="0" xfId="0"/>
    <xf numFmtId="0" fontId="4" fillId="42" borderId="7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35" borderId="0" pivotButton="0" quotePrefix="0" xfId="0"/>
    <xf numFmtId="0" fontId="43" fillId="0" borderId="0" pivotButton="0" quotePrefix="0" xfId="0"/>
    <xf numFmtId="0" fontId="0" fillId="36" borderId="0" pivotButton="0" quotePrefix="0" xfId="0"/>
    <xf numFmtId="0" fontId="11" fillId="37" borderId="0" pivotButton="0" quotePrefix="0" xfId="0"/>
    <xf numFmtId="0" fontId="42" fillId="29" borderId="0" pivotButton="0" quotePrefix="0" xfId="0"/>
    <xf numFmtId="0" fontId="42" fillId="38" borderId="0" pivotButton="0" quotePrefix="0" xfId="0"/>
    <xf numFmtId="0" fontId="11" fillId="36" borderId="0" pivotButton="0" quotePrefix="0" xfId="0"/>
    <xf numFmtId="0" fontId="42" fillId="39" borderId="0" pivotButton="0" quotePrefix="0" xfId="0"/>
    <xf numFmtId="0" fontId="37" fillId="0" borderId="0" pivotButton="0" quotePrefix="0" xfId="0"/>
    <xf numFmtId="0" fontId="11" fillId="27" borderId="7" pivotButton="0" quotePrefix="0" xfId="0"/>
    <xf numFmtId="0" fontId="38" fillId="0" borderId="0" pivotButton="0" quotePrefix="0" xfId="0"/>
    <xf numFmtId="0" fontId="39" fillId="0" borderId="0" pivotButton="0" quotePrefix="0" xfId="0"/>
    <xf numFmtId="0" fontId="11" fillId="28" borderId="7" pivotButton="0" quotePrefix="0" xfId="0"/>
    <xf numFmtId="0" fontId="11" fillId="29" borderId="7" pivotButton="0" quotePrefix="0" xfId="0"/>
    <xf numFmtId="0" fontId="11" fillId="30" borderId="7" pivotButton="0" quotePrefix="0" xfId="0"/>
    <xf numFmtId="0" fontId="11" fillId="31" borderId="7" pivotButton="0" quotePrefix="0" xfId="0"/>
    <xf numFmtId="0" fontId="11" fillId="32" borderId="7" pivotButton="0" quotePrefix="0" xfId="0"/>
    <xf numFmtId="0" fontId="11" fillId="33" borderId="7" pivotButton="0" quotePrefix="0" xfId="0"/>
    <xf numFmtId="0" fontId="11" fillId="34" borderId="7" pivotButton="0" quotePrefix="0" xfId="0"/>
    <xf numFmtId="0" fontId="44" fillId="0" borderId="0" pivotButton="0" quotePrefix="0" xfId="0"/>
    <xf numFmtId="0" fontId="4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6" fillId="29" borderId="0" applyAlignment="1" pivotButton="0" quotePrefix="0" xfId="0">
      <alignment horizontal="left" vertical="center"/>
    </xf>
    <xf numFmtId="0" fontId="0" fillId="29" borderId="0" pivotButton="0" quotePrefix="0" xfId="0"/>
    <xf numFmtId="0" fontId="43" fillId="43" borderId="7" applyAlignment="1" pivotButton="0" quotePrefix="0" xfId="0">
      <alignment horizontal="right" vertical="center"/>
    </xf>
    <xf numFmtId="0" fontId="45" fillId="44" borderId="7" applyAlignment="1" pivotButton="0" quotePrefix="0" xfId="0">
      <alignment horizontal="left" vertical="center" wrapText="1"/>
    </xf>
    <xf numFmtId="0" fontId="45" fillId="45" borderId="7" applyAlignment="1" pivotButton="0" quotePrefix="0" xfId="0">
      <alignment horizontal="left" vertical="center" wrapText="1"/>
    </xf>
    <xf numFmtId="0" fontId="45" fillId="36" borderId="7" applyAlignment="1" pivotButton="0" quotePrefix="0" xfId="0">
      <alignment horizontal="left" vertical="center" wrapText="1"/>
    </xf>
    <xf numFmtId="0" fontId="47" fillId="0" borderId="7" applyAlignment="1" pivotButton="0" quotePrefix="0" xfId="0">
      <alignment horizontal="left" vertical="center" wrapText="1"/>
    </xf>
    <xf numFmtId="0" fontId="48" fillId="37" borderId="7" applyAlignment="1" pivotButton="0" quotePrefix="0" xfId="0">
      <alignment horizontal="left" vertical="center" wrapText="1"/>
    </xf>
    <xf numFmtId="0" fontId="46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46" fillId="38" borderId="0" applyAlignment="1" pivotButton="0" quotePrefix="0" xfId="0">
      <alignment horizontal="left" vertical="center"/>
    </xf>
    <xf numFmtId="0" fontId="0" fillId="38" borderId="0" pivotButton="0" quotePrefix="0" xfId="0"/>
    <xf numFmtId="0" fontId="46" fillId="39" borderId="0" applyAlignment="1" pivotButton="0" quotePrefix="0" xfId="0">
      <alignment horizontal="left" vertical="center"/>
    </xf>
    <xf numFmtId="0" fontId="0" fillId="39" borderId="0" pivotButton="0" quotePrefix="0" xfId="0"/>
    <xf numFmtId="0" fontId="49" fillId="46" borderId="0" pivotButton="0" quotePrefix="0" xfId="0"/>
    <xf numFmtId="0" fontId="46" fillId="33" borderId="12" pivotButton="0" quotePrefix="0" xfId="0"/>
    <xf numFmtId="0" fontId="38" fillId="0" borderId="12" pivotButton="0" quotePrefix="0" xfId="0"/>
    <xf numFmtId="0" fontId="41" fillId="0" borderId="12" applyAlignment="1" pivotButton="0" quotePrefix="0" xfId="0">
      <alignment horizontal="center"/>
    </xf>
    <xf numFmtId="0" fontId="38" fillId="0" borderId="12" applyAlignment="1" pivotButton="0" quotePrefix="0" xfId="0">
      <alignment horizontal="center"/>
    </xf>
    <xf numFmtId="0" fontId="38" fillId="40" borderId="7" applyAlignment="1" pivotButton="0" quotePrefix="0" xfId="0">
      <alignment horizontal="center"/>
    </xf>
    <xf numFmtId="0" fontId="43" fillId="0" borderId="12" pivotButton="0" quotePrefix="0" xfId="0"/>
    <xf numFmtId="0" fontId="45" fillId="0" borderId="12" pivotButton="0" quotePrefix="0" xfId="0"/>
    <xf numFmtId="0" fontId="38" fillId="36" borderId="7" applyAlignment="1" pivotButton="0" quotePrefix="0" xfId="0">
      <alignment horizontal="center"/>
    </xf>
    <xf numFmtId="0" fontId="38" fillId="37" borderId="7" applyAlignment="1" pivotButton="0" quotePrefix="0" xfId="0">
      <alignment horizontal="center"/>
    </xf>
    <xf numFmtId="0" fontId="38" fillId="41" borderId="7" applyAlignment="1" pivotButton="0" quotePrefix="0" xfId="0">
      <alignment horizontal="center"/>
    </xf>
    <xf numFmtId="0" fontId="38" fillId="32" borderId="7" pivotButton="0" quotePrefix="0" xfId="0"/>
    <xf numFmtId="0" fontId="38" fillId="42" borderId="7" pivotButton="0" quotePrefix="0" xfId="0"/>
    <xf numFmtId="0" fontId="38" fillId="44" borderId="7" pivotButton="0" quotePrefix="0" xfId="0"/>
    <xf numFmtId="0" fontId="38" fillId="34" borderId="7" pivotButton="0" quotePrefix="0" xfId="0"/>
    <xf numFmtId="0" fontId="46" fillId="47" borderId="12" pivotButton="0" quotePrefix="0" xfId="0"/>
    <xf numFmtId="0" fontId="38" fillId="27" borderId="7" pivotButton="0" quotePrefix="0" xfId="0"/>
    <xf numFmtId="0" fontId="38" fillId="28" borderId="7" pivotButton="0" quotePrefix="0" xfId="0"/>
    <xf numFmtId="0" fontId="38" fillId="29" borderId="7" pivotButton="0" quotePrefix="0" xfId="0"/>
    <xf numFmtId="0" fontId="38" fillId="30" borderId="7" pivotButton="0" quotePrefix="0" xfId="0"/>
    <xf numFmtId="0" fontId="38" fillId="31" borderId="7" pivotButton="0" quotePrefix="0" xfId="0"/>
    <xf numFmtId="0" fontId="38" fillId="33" borderId="7" pivotButton="0" quotePrefix="0" xfId="0"/>
    <xf numFmtId="0" fontId="5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51" fillId="0" borderId="0" applyAlignment="1" pivotButton="0" quotePrefix="0" xfId="0">
      <alignment horizontal="left" vertical="center" wrapText="1"/>
    </xf>
    <xf numFmtId="0" fontId="0" fillId="27" borderId="0" applyAlignment="1" pivotButton="0" quotePrefix="0" xfId="0">
      <alignment horizontal="center"/>
    </xf>
    <xf numFmtId="0" fontId="0" fillId="48" borderId="0" applyAlignment="1" pivotButton="0" quotePrefix="0" xfId="0">
      <alignment horizontal="center"/>
    </xf>
    <xf numFmtId="0" fontId="0" fillId="49" borderId="0" applyAlignment="1" pivotButton="0" quotePrefix="0" xfId="0">
      <alignment horizontal="center"/>
    </xf>
    <xf numFmtId="0" fontId="0" fillId="28" borderId="0" applyAlignment="1" pivotButton="0" quotePrefix="0" xfId="0">
      <alignment horizontal="center"/>
    </xf>
    <xf numFmtId="0" fontId="0" fillId="50" borderId="0" applyAlignment="1" pivotButton="0" quotePrefix="0" xfId="0">
      <alignment horizontal="center"/>
    </xf>
    <xf numFmtId="0" fontId="0" fillId="51" borderId="0" applyAlignment="1" pivotButton="0" quotePrefix="0" xfId="0">
      <alignment horizontal="center"/>
    </xf>
    <xf numFmtId="0" fontId="0" fillId="52" borderId="0" applyAlignment="1" pivotButton="0" quotePrefix="0" xfId="0">
      <alignment horizontal="center"/>
    </xf>
    <xf numFmtId="0" fontId="52" fillId="0" borderId="0" pivotButton="0" quotePrefix="0" xfId="0"/>
    <xf numFmtId="0" fontId="11" fillId="48" borderId="7" pivotButton="0" quotePrefix="0" xfId="0"/>
    <xf numFmtId="0" fontId="11" fillId="49" borderId="7" pivotButton="0" quotePrefix="0" xfId="0"/>
    <xf numFmtId="0" fontId="11" fillId="50" borderId="7" pivotButton="0" quotePrefix="0" xfId="0"/>
    <xf numFmtId="0" fontId="11" fillId="51" borderId="7" pivotButton="0" quotePrefix="0" xfId="0"/>
    <xf numFmtId="0" fontId="11" fillId="52" borderId="7" pivotButton="0" quotePrefix="0" xfId="0"/>
    <xf numFmtId="0" fontId="5" fillId="36" borderId="2" applyAlignment="1" pivotButton="0" quotePrefix="0" xfId="0">
      <alignment horizontal="center" vertical="center" wrapText="1"/>
    </xf>
    <xf numFmtId="0" fontId="11" fillId="27" borderId="13" pivotButton="0" quotePrefix="0" xfId="0"/>
    <xf numFmtId="0" fontId="11" fillId="48" borderId="13" pivotButton="0" quotePrefix="0" xfId="0"/>
    <xf numFmtId="0" fontId="11" fillId="49" borderId="13" pivotButton="0" quotePrefix="0" xfId="0"/>
    <xf numFmtId="0" fontId="11" fillId="28" borderId="13" pivotButton="0" quotePrefix="0" xfId="0"/>
    <xf numFmtId="0" fontId="11" fillId="50" borderId="13" pivotButton="0" quotePrefix="0" xfId="0"/>
    <xf numFmtId="0" fontId="11" fillId="51" borderId="13" pivotButton="0" quotePrefix="0" xfId="0"/>
    <xf numFmtId="0" fontId="11" fillId="52" borderId="13" pivotButton="0" quotePrefix="0" xfId="0"/>
    <xf numFmtId="0" fontId="11" fillId="34" borderId="13" pivotButton="0" quotePrefix="0" xfId="0"/>
    <xf numFmtId="0" fontId="53" fillId="0" borderId="0" pivotButton="0" quotePrefix="0" xfId="0"/>
    <xf numFmtId="0" fontId="54" fillId="0" borderId="0" pivotButton="0" quotePrefix="0" xfId="0"/>
    <xf numFmtId="0" fontId="38" fillId="33" borderId="0" pivotButton="0" quotePrefix="0" xfId="0"/>
    <xf numFmtId="0" fontId="38" fillId="40" borderId="13" applyAlignment="1" pivotButton="0" quotePrefix="0" xfId="0">
      <alignment horizontal="center"/>
    </xf>
    <xf numFmtId="0" fontId="38" fillId="36" borderId="13" applyAlignment="1" pivotButton="0" quotePrefix="0" xfId="0">
      <alignment horizontal="center"/>
    </xf>
    <xf numFmtId="0" fontId="38" fillId="37" borderId="13" applyAlignment="1" pivotButton="0" quotePrefix="0" xfId="0">
      <alignment horizontal="center"/>
    </xf>
    <xf numFmtId="0" fontId="38" fillId="46" borderId="13" applyAlignment="1" pivotButton="0" quotePrefix="0" xfId="0">
      <alignment horizontal="center"/>
    </xf>
    <xf numFmtId="0" fontId="38" fillId="32" borderId="13" pivotButton="0" quotePrefix="0" xfId="0"/>
    <xf numFmtId="0" fontId="38" fillId="42" borderId="13" pivotButton="0" quotePrefix="0" xfId="0"/>
    <xf numFmtId="0" fontId="38" fillId="44" borderId="13" pivotButton="0" quotePrefix="0" xfId="0"/>
    <xf numFmtId="0" fontId="38" fillId="60" borderId="13" pivotButton="0" quotePrefix="0" xfId="0"/>
    <xf numFmtId="0" fontId="38" fillId="47" borderId="0" pivotButton="0" quotePrefix="0" xfId="0"/>
    <xf numFmtId="0" fontId="38" fillId="53" borderId="13" pivotButton="0" quotePrefix="0" xfId="0"/>
    <xf numFmtId="0" fontId="38" fillId="54" borderId="13" pivotButton="0" quotePrefix="0" xfId="0"/>
    <xf numFmtId="0" fontId="38" fillId="55" borderId="13" pivotButton="0" quotePrefix="0" xfId="0"/>
    <xf numFmtId="0" fontId="38" fillId="56" borderId="13" pivotButton="0" quotePrefix="0" xfId="0"/>
    <xf numFmtId="0" fontId="38" fillId="57" borderId="13" pivotButton="0" quotePrefix="0" xfId="0"/>
    <xf numFmtId="0" fontId="38" fillId="58" borderId="13" pivotButton="0" quotePrefix="0" xfId="0"/>
    <xf numFmtId="0" fontId="38" fillId="59" borderId="13" pivotButton="0" quotePrefix="0" xfId="0"/>
    <xf numFmtId="0" fontId="0" fillId="53" borderId="0" applyAlignment="1" pivotButton="0" quotePrefix="0" xfId="0">
      <alignment horizontal="center"/>
    </xf>
    <xf numFmtId="0" fontId="0" fillId="54" borderId="0" applyAlignment="1" pivotButton="0" quotePrefix="0" xfId="0">
      <alignment horizontal="center"/>
    </xf>
    <xf numFmtId="0" fontId="0" fillId="55" borderId="0" applyAlignment="1" pivotButton="0" quotePrefix="0" xfId="0">
      <alignment horizontal="center"/>
    </xf>
    <xf numFmtId="0" fontId="0" fillId="56" borderId="0" applyAlignment="1" pivotButton="0" quotePrefix="0" xfId="0">
      <alignment horizontal="center"/>
    </xf>
    <xf numFmtId="0" fontId="0" fillId="57" borderId="0" applyAlignment="1" pivotButton="0" quotePrefix="0" xfId="0">
      <alignment horizontal="center"/>
    </xf>
    <xf numFmtId="0" fontId="0" fillId="58" borderId="0" applyAlignment="1" pivotButton="0" quotePrefix="0" xfId="0">
      <alignment horizontal="center"/>
    </xf>
    <xf numFmtId="0" fontId="0" fillId="59" borderId="0" applyAlignment="1" pivotButton="0" quotePrefix="0" xfId="0">
      <alignment horizontal="center"/>
    </xf>
    <xf numFmtId="0" fontId="55" fillId="0" borderId="0" pivotButton="0" quotePrefix="0" xfId="0"/>
  </cellXfs>
  <cellStyles count="1">
    <cellStyle name="Normal" xfId="0" builtinId="0"/>
  </cellStyles>
  <dxfs count="16">
    <dxf>
      <fill>
        <patternFill>
          <bgColor rgb="FF64748B"/>
        </patternFill>
      </fill>
    </dxf>
    <dxf>
      <fill>
        <patternFill>
          <bgColor rgb="FF8B5CF6"/>
        </patternFill>
      </fill>
    </dxf>
    <dxf>
      <fill>
        <patternFill>
          <bgColor rgb="FFEAB308"/>
        </patternFill>
      </fill>
    </dxf>
    <dxf>
      <fill>
        <patternFill>
          <bgColor rgb="FFF97316"/>
        </patternFill>
      </fill>
    </dxf>
    <dxf>
      <fill>
        <patternFill>
          <bgColor rgb="FF3B82F6"/>
        </patternFill>
      </fill>
    </dxf>
    <dxf>
      <fill>
        <patternFill>
          <bgColor rgb="FFDC2626"/>
        </patternFill>
      </fill>
    </dxf>
    <dxf>
      <fill>
        <patternFill>
          <bgColor rgb="FF3B82F6"/>
        </patternFill>
      </fill>
    </dxf>
    <dxf>
      <fill>
        <patternFill>
          <bgColor rgb="FF22C55E"/>
        </patternFill>
      </fill>
    </dxf>
    <dxf>
      <fill>
        <patternFill patternType="solid">
          <fgColor rgb="FF22C55E"/>
          <bgColor rgb="FF22C55E"/>
        </patternFill>
      </fill>
    </dxf>
    <dxf>
      <fill>
        <patternFill patternType="solid">
          <fgColor rgb="FF3B82F6"/>
          <bgColor rgb="FF3B82F6"/>
        </patternFill>
      </fill>
    </dxf>
    <dxf>
      <fill>
        <patternFill patternType="solid">
          <fgColor rgb="FFF97316"/>
          <bgColor rgb="FFF97316"/>
        </patternFill>
      </fill>
    </dxf>
    <dxf>
      <fill>
        <patternFill patternType="solid">
          <fgColor rgb="FFEAB308"/>
          <bgColor rgb="FFEAB308"/>
        </patternFill>
      </fill>
    </dxf>
    <dxf>
      <fill>
        <patternFill patternType="solid">
          <fgColor rgb="FF8B5CF6"/>
          <bgColor rgb="FF8B5CF6"/>
        </patternFill>
      </fill>
    </dxf>
    <dxf>
      <fill>
        <patternFill patternType="solid">
          <fgColor rgb="FF64748B"/>
          <bgColor rgb="FF64748B"/>
        </patternFill>
      </fill>
    </dxf>
    <dxf>
      <fill>
        <patternFill patternType="solid">
          <fgColor rgb="FF14B8A6"/>
          <bgColor rgb="FF14B8A6"/>
        </patternFill>
      </fill>
    </dxf>
    <dxf>
      <fill>
        <patternFill patternType="solid">
          <fgColor rgb="FFDC2626"/>
          <bgColor rgb="FFDC262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8B5CF6"/>
      <rgbColor rgb="FF7C3AED"/>
      <rgbColor rgb="FFF1F5F9"/>
      <rgbColor rgb="FFDBEAFE"/>
      <rgbColor rgb="FF660066"/>
      <rgbColor rgb="FFEA580C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FAE5"/>
      <rgbColor rgb="FFFEE2E2"/>
      <rgbColor rgb="FF99CCFF"/>
      <rgbColor rgb="FFFF99CC"/>
      <rgbColor rgb="FFCC99FF"/>
      <rgbColor rgb="FFFED7AA"/>
      <rgbColor rgb="FF3B82F6"/>
      <rgbColor rgb="FF33CCCC"/>
      <rgbColor rgb="FF99CC00"/>
      <rgbColor rgb="FFEAB308"/>
      <rgbColor rgb="FFFF9900"/>
      <rgbColor rgb="FFF97316"/>
      <rgbColor rgb="FF64748B"/>
      <rgbColor rgb="FF969696"/>
      <rgbColor rgb="FF003366"/>
      <rgbColor rgb="FF22C55E"/>
      <rgbColor rgb="FF003300"/>
      <rgbColor rgb="FF333300"/>
      <rgbColor rgb="FF993300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9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" min="1" max="1"/>
    <col width="38" customWidth="1" style="46" min="2" max="2"/>
    <col width="2" customWidth="1" style="46" min="3" max="3"/>
    <col width="28" customWidth="1" style="46" min="4" max="4"/>
    <col width="12" customWidth="1" style="46" min="5" max="5"/>
    <col width="44" customWidth="1" style="46" min="6" max="6"/>
    <col width="2" customWidth="1" style="46" min="7" max="7"/>
    <col width="26" customWidth="1" style="46" min="8" max="8"/>
    <col width="16" customWidth="1" style="46" min="9" max="9"/>
    <col width="16" customWidth="1" style="46" min="10" max="10"/>
  </cols>
  <sheetData>
    <row r="2" ht="28" customHeight="1" s="46">
      <c r="B2" s="72" t="inlineStr">
        <is>
          <t>OUTIL 4 — Pilotage de création (saisie unique)</t>
        </is>
      </c>
    </row>
    <row r="3" ht="24" customHeight="1" s="46">
      <c r="B3" s="179" t="inlineStr">
        <is>
          <t>⚠️ Saisissez UNIQUEMENT dans les cellules JAUNES. Les autres sont calculées automatiquement.</t>
        </is>
      </c>
    </row>
    <row r="4">
      <c r="H4" s="74" t="inlineStr">
        <is>
          <t>Synthèse (auto)</t>
        </is>
      </c>
    </row>
    <row r="5">
      <c r="H5" s="108" t="inlineStr">
        <is>
          <t>Tâches terminées</t>
        </is>
      </c>
      <c r="I5" s="109">
        <f>COUNTIF(D46:D69,"Terminé")</f>
        <v/>
      </c>
      <c r="J5" s="103" t="n"/>
    </row>
    <row r="6">
      <c r="H6" s="108" t="inlineStr">
        <is>
          <t>Avancement</t>
        </is>
      </c>
      <c r="I6" s="109">
        <f>IFERROR(ROUND(COUNTIF(D46:D69,"Terminé")/COUNTA(A46:A69)*100,0)&amp;"%","0%")</f>
        <v/>
      </c>
      <c r="J6" s="103" t="n"/>
    </row>
    <row r="7">
      <c r="H7" s="108" t="inlineStr">
        <is>
          <t>Tâches bloquantes</t>
        </is>
      </c>
      <c r="I7" s="109">
        <f>COUNTIFS(D46:D69,"&lt;&gt;Terminé")</f>
        <v/>
      </c>
      <c r="J7" s="103" t="n"/>
    </row>
    <row r="9" ht="20" customHeight="1" s="46">
      <c r="B9" s="77" t="inlineStr">
        <is>
          <t>1) Profil du projet</t>
        </is>
      </c>
    </row>
    <row r="10">
      <c r="B10" s="78" t="inlineStr">
        <is>
          <t>Paramètre</t>
        </is>
      </c>
      <c r="C10" s="103" t="n"/>
      <c r="D10" s="78" t="inlineStr">
        <is>
          <t>Valeur (à saisir)</t>
        </is>
      </c>
      <c r="E10" s="103" t="n"/>
      <c r="F10" s="78" t="inlineStr">
        <is>
          <t>Unité</t>
        </is>
      </c>
      <c r="G10" s="103" t="n"/>
      <c r="H10" s="78" t="inlineStr">
        <is>
          <t>Commentaire / aide</t>
        </is>
      </c>
      <c r="I10" s="104" t="n"/>
      <c r="J10" s="103" t="n"/>
    </row>
    <row r="11">
      <c r="B11" s="79" t="inlineStr">
        <is>
          <t>Nom du porteur de projet</t>
        </is>
      </c>
      <c r="C11" s="103" t="n"/>
      <c r="D11" s="80" t="inlineStr">
        <is>
          <t>Monsieur X</t>
        </is>
      </c>
      <c r="E11" s="105" t="n"/>
      <c r="F11" s="81" t="inlineStr"/>
      <c r="G11" s="103" t="n"/>
      <c r="H11" s="79" t="inlineStr">
        <is>
          <t>Repris dans '2-Mon Projet'</t>
        </is>
      </c>
      <c r="I11" s="104" t="n"/>
      <c r="J11" s="103" t="n"/>
    </row>
    <row r="12">
      <c r="B12" s="79" t="inlineStr">
        <is>
          <t>Nom du cabinet (NON intégré au mémoire)</t>
        </is>
      </c>
      <c r="C12" s="103" t="n"/>
      <c r="D12" s="80" t="inlineStr">
        <is>
          <t>Cabinet X Expertise</t>
        </is>
      </c>
      <c r="E12" s="105" t="n"/>
      <c r="F12" s="81" t="inlineStr"/>
      <c r="G12" s="103" t="n"/>
      <c r="H12" s="79" t="inlineStr">
        <is>
          <t>⚠️ Interdit sur la page de garde du mémoire</t>
        </is>
      </c>
      <c r="I12" s="104" t="n"/>
      <c r="J12" s="103" t="n"/>
    </row>
    <row r="13">
      <c r="B13" s="79" t="inlineStr">
        <is>
          <t>Région d’implantation</t>
        </is>
      </c>
      <c r="C13" s="103" t="n"/>
      <c r="D13" s="80" t="inlineStr">
        <is>
          <t>Ile-de-France</t>
        </is>
      </c>
      <c r="E13" s="105" t="n"/>
      <c r="F13" s="81" t="inlineStr"/>
      <c r="G13" s="103" t="n"/>
      <c r="H13" s="79" t="inlineStr"/>
      <c r="I13" s="104" t="n"/>
      <c r="J13" s="103" t="n"/>
    </row>
    <row r="14">
      <c r="B14" s="79" t="inlineStr">
        <is>
          <t>Type de création</t>
        </is>
      </c>
      <c r="C14" s="103" t="n"/>
      <c r="D14" s="80" t="inlineStr">
        <is>
          <t>Creation ex-nihilo</t>
        </is>
      </c>
      <c r="E14" s="105" t="n"/>
      <c r="F14" s="81" t="inlineStr"/>
      <c r="G14" s="103" t="n"/>
      <c r="H14" s="79" t="inlineStr">
        <is>
          <t>Ex-nihilo / Reprise / Association / Fusion</t>
        </is>
      </c>
      <c r="I14" s="104" t="n"/>
      <c r="J14" s="103" t="n"/>
    </row>
    <row r="15">
      <c r="B15" s="79" t="inlineStr">
        <is>
          <t>Forme juridique</t>
        </is>
      </c>
      <c r="C15" s="103" t="n"/>
      <c r="D15" s="80" t="inlineStr">
        <is>
          <t>SASU</t>
        </is>
      </c>
      <c r="E15" s="105" t="n"/>
      <c r="F15" s="81" t="inlineStr"/>
      <c r="G15" s="103" t="n"/>
      <c r="H15" s="79" t="inlineStr">
        <is>
          <t>SASU, SARL, SELARL…</t>
        </is>
      </c>
      <c r="I15" s="104" t="n"/>
      <c r="J15" s="103" t="n"/>
    </row>
    <row r="16">
      <c r="B16" s="79" t="inlineStr">
        <is>
          <t>Capital social prévu</t>
        </is>
      </c>
      <c r="C16" s="103" t="n"/>
      <c r="D16" s="80" t="n">
        <v>5000</v>
      </c>
      <c r="E16" s="105" t="n"/>
      <c r="F16" s="81" t="inlineStr">
        <is>
          <t>EUR</t>
        </is>
      </c>
      <c r="G16" s="103" t="n"/>
      <c r="H16" s="79" t="inlineStr"/>
      <c r="I16" s="104" t="n"/>
      <c r="J16" s="103" t="n"/>
    </row>
    <row r="17">
      <c r="B17" s="79" t="inlineStr">
        <is>
          <t>Date création société (M0)</t>
        </is>
      </c>
      <c r="C17" s="103" t="n"/>
      <c r="D17" s="80" t="inlineStr">
        <is>
          <t>01/07/2025</t>
        </is>
      </c>
      <c r="E17" s="105" t="n"/>
      <c r="F17" s="81" t="inlineStr">
        <is>
          <t>JJ/MM/AAAA</t>
        </is>
      </c>
      <c r="G17" s="103" t="n"/>
      <c r="H17" s="79" t="inlineStr"/>
      <c r="I17" s="104" t="n"/>
      <c r="J17" s="103" t="n"/>
    </row>
    <row r="18">
      <c r="B18" s="79" t="inlineStr">
        <is>
          <t>Date début réflexion (M-6)</t>
        </is>
      </c>
      <c r="C18" s="103" t="n"/>
      <c r="D18" s="80" t="inlineStr">
        <is>
          <t>01/01/2025</t>
        </is>
      </c>
      <c r="E18" s="105" t="n"/>
      <c r="F18" s="81" t="inlineStr">
        <is>
          <t>JJ/MM/AAAA</t>
        </is>
      </c>
      <c r="G18" s="103" t="n"/>
      <c r="H18" s="79" t="inlineStr"/>
      <c r="I18" s="104" t="n"/>
      <c r="J18" s="103" t="n"/>
    </row>
    <row r="19">
      <c r="B19" s="79" t="inlineStr">
        <is>
          <t>Date cible 1er client</t>
        </is>
      </c>
      <c r="C19" s="103" t="n"/>
      <c r="D19" s="80" t="inlineStr">
        <is>
          <t>01/08/2025</t>
        </is>
      </c>
      <c r="E19" s="105" t="n"/>
      <c r="F19" s="81" t="inlineStr">
        <is>
          <t>JJ/MM/AAAA</t>
        </is>
      </c>
      <c r="G19" s="103" t="n"/>
      <c r="H19" s="79" t="inlineStr"/>
      <c r="I19" s="104" t="n"/>
      <c r="J19" s="103" t="n"/>
    </row>
    <row r="20">
      <c r="B20" s="79" t="inlineStr">
        <is>
          <t>Niveau numérique cible</t>
        </is>
      </c>
      <c r="C20" s="103" t="n"/>
      <c r="D20" s="80" t="inlineStr">
        <is>
          <t>Avance (100% numerique)</t>
        </is>
      </c>
      <c r="E20" s="105" t="n"/>
      <c r="F20" s="81" t="inlineStr"/>
      <c r="G20" s="103" t="n"/>
      <c r="H20" s="79" t="inlineStr">
        <is>
          <t>Basique / Intermédiaire / Avancé</t>
        </is>
      </c>
      <c r="I20" s="104" t="n"/>
      <c r="J20" s="103" t="n"/>
    </row>
    <row r="21">
      <c r="B21" s="79" t="inlineStr">
        <is>
          <t>Votre expérience outils</t>
        </is>
      </c>
      <c r="C21" s="103" t="n"/>
      <c r="D21" s="80" t="inlineStr">
        <is>
          <t>Confirme</t>
        </is>
      </c>
      <c r="E21" s="105" t="n"/>
      <c r="F21" s="81" t="inlineStr"/>
      <c r="G21" s="103" t="n"/>
      <c r="H21" s="79" t="inlineStr">
        <is>
          <t>Débutant / Confirmé / Expert</t>
        </is>
      </c>
      <c r="I21" s="104" t="n"/>
      <c r="J21" s="103" t="n"/>
    </row>
    <row r="22">
      <c r="B22" s="79" t="inlineStr">
        <is>
          <t>Logiciel comptable cible</t>
        </is>
      </c>
      <c r="C22" s="103" t="n"/>
      <c r="D22" s="80" t="inlineStr">
        <is>
          <t>Pennylane</t>
        </is>
      </c>
      <c r="E22" s="105" t="n"/>
      <c r="F22" s="81" t="inlineStr"/>
      <c r="G22" s="103" t="n"/>
      <c r="H22" s="79" t="inlineStr"/>
      <c r="I22" s="104" t="n"/>
      <c r="J22" s="103" t="n"/>
    </row>
    <row r="24" ht="20" customHeight="1" s="46">
      <c r="B24" s="77" t="inlineStr">
        <is>
          <t>2) Ressources humaines &amp; objectifs commerciaux</t>
        </is>
      </c>
    </row>
    <row r="25">
      <c r="B25" s="78" t="inlineStr">
        <is>
          <t>Paramètre</t>
        </is>
      </c>
      <c r="C25" s="103" t="n"/>
      <c r="D25" s="78" t="inlineStr">
        <is>
          <t>Valeur (à saisir)</t>
        </is>
      </c>
      <c r="E25" s="103" t="n"/>
      <c r="F25" s="78" t="inlineStr">
        <is>
          <t>Unité</t>
        </is>
      </c>
      <c r="G25" s="103" t="n"/>
      <c r="H25" s="78" t="inlineStr">
        <is>
          <t>Commentaire / aide</t>
        </is>
      </c>
      <c r="I25" s="104" t="n"/>
      <c r="J25" s="103" t="n"/>
    </row>
    <row r="26">
      <c r="B26" s="79" t="inlineStr">
        <is>
          <t>Objectif collaborateurs à 12 mois</t>
        </is>
      </c>
      <c r="C26" s="103" t="n"/>
      <c r="D26" s="80" t="n">
        <v>1</v>
      </c>
      <c r="E26" s="105" t="n"/>
      <c r="F26" s="81" t="inlineStr"/>
      <c r="G26" s="103" t="n"/>
      <c r="H26" s="79" t="inlineStr">
        <is>
          <t>0 = mode solo</t>
        </is>
      </c>
      <c r="I26" s="104" t="n"/>
      <c r="J26" s="103" t="n"/>
    </row>
    <row r="27">
      <c r="B27" s="79" t="inlineStr">
        <is>
          <t>Mois démarrage recrutement (M+)</t>
        </is>
      </c>
      <c r="C27" s="103" t="n"/>
      <c r="D27" s="80" t="n">
        <v>6</v>
      </c>
      <c r="E27" s="105" t="n"/>
      <c r="F27" s="81" t="inlineStr"/>
      <c r="G27" s="103" t="n"/>
      <c r="H27" s="79" t="inlineStr">
        <is>
          <t>Ex : 6 = M+6</t>
        </is>
      </c>
      <c r="I27" s="104" t="n"/>
      <c r="J27" s="103" t="n"/>
    </row>
    <row r="28">
      <c r="B28" s="79" t="inlineStr">
        <is>
          <t>Profil recherché</t>
        </is>
      </c>
      <c r="C28" s="103" t="n"/>
      <c r="D28" s="80" t="inlineStr">
        <is>
          <t>Collaborateur junior</t>
        </is>
      </c>
      <c r="E28" s="105" t="n"/>
      <c r="F28" s="81" t="inlineStr"/>
      <c r="G28" s="103" t="n"/>
      <c r="H28" s="79" t="inlineStr"/>
      <c r="I28" s="104" t="n"/>
      <c r="J28" s="103" t="n"/>
    </row>
    <row r="29">
      <c r="B29" s="79" t="inlineStr">
        <is>
          <t>Budget recrutement (marque employeur)</t>
        </is>
      </c>
      <c r="C29" s="103" t="n"/>
      <c r="D29" s="80" t="n">
        <v>800</v>
      </c>
      <c r="E29" s="105" t="n"/>
      <c r="F29" s="81" t="inlineStr">
        <is>
          <t>EUR</t>
        </is>
      </c>
      <c r="G29" s="103" t="n"/>
      <c r="H29" s="79" t="inlineStr">
        <is>
          <t>LinkedIn / jobboards / cabinet de chasse</t>
        </is>
      </c>
      <c r="I29" s="104" t="n"/>
      <c r="J29" s="103" t="n"/>
    </row>
    <row r="30">
      <c r="B30" s="79" t="inlineStr">
        <is>
          <t>Objectif clients M+3</t>
        </is>
      </c>
      <c r="C30" s="103" t="n"/>
      <c r="D30" s="80" t="n">
        <v>3</v>
      </c>
      <c r="E30" s="105" t="n"/>
      <c r="F30" s="81" t="inlineStr"/>
      <c r="G30" s="103" t="n"/>
      <c r="H30" s="79" t="inlineStr"/>
      <c r="I30" s="104" t="n"/>
      <c r="J30" s="103" t="n"/>
    </row>
    <row r="31">
      <c r="B31" s="79" t="inlineStr">
        <is>
          <t>Objectif clients M+6</t>
        </is>
      </c>
      <c r="C31" s="103" t="n"/>
      <c r="D31" s="80" t="n">
        <v>8</v>
      </c>
      <c r="E31" s="105" t="n"/>
      <c r="F31" s="81" t="inlineStr"/>
      <c r="G31" s="103" t="n"/>
      <c r="H31" s="79" t="inlineStr"/>
      <c r="I31" s="104" t="n"/>
      <c r="J31" s="103" t="n"/>
    </row>
    <row r="32">
      <c r="B32" s="79" t="inlineStr">
        <is>
          <t>Objectif clients M+12</t>
        </is>
      </c>
      <c r="C32" s="103" t="n"/>
      <c r="D32" s="80" t="n">
        <v>15</v>
      </c>
      <c r="E32" s="105" t="n"/>
      <c r="F32" s="81" t="inlineStr"/>
      <c r="G32" s="103" t="n"/>
      <c r="H32" s="79" t="inlineStr"/>
      <c r="I32" s="104" t="n"/>
      <c r="J32" s="103" t="n"/>
    </row>
    <row r="33">
      <c r="B33" s="79" t="inlineStr">
        <is>
          <t>Honoraire moyen cible (€/an)</t>
        </is>
      </c>
      <c r="C33" s="103" t="n"/>
      <c r="D33" s="80" t="n">
        <v>3000</v>
      </c>
      <c r="E33" s="105" t="n"/>
      <c r="F33" s="81" t="inlineStr">
        <is>
          <t>EUR/an</t>
        </is>
      </c>
      <c r="G33" s="103" t="n"/>
      <c r="H33" s="79" t="inlineStr"/>
      <c r="I33" s="104" t="n"/>
      <c r="J33" s="103" t="n"/>
    </row>
    <row r="34">
      <c r="B34" s="79" t="inlineStr">
        <is>
          <t>Spécialisation</t>
        </is>
      </c>
      <c r="C34" s="103" t="n"/>
      <c r="D34" s="80" t="inlineStr">
        <is>
          <t>Startups / TPE innovantes</t>
        </is>
      </c>
      <c r="E34" s="105" t="n"/>
      <c r="F34" s="81" t="inlineStr"/>
      <c r="G34" s="103" t="n"/>
      <c r="H34" s="79" t="inlineStr"/>
      <c r="I34" s="104" t="n"/>
      <c r="J34" s="103" t="n"/>
    </row>
    <row r="36" ht="20" customHeight="1" s="46">
      <c r="B36" s="77" t="inlineStr">
        <is>
          <t>3) Budget &amp; financement</t>
        </is>
      </c>
    </row>
    <row r="37">
      <c r="B37" s="78" t="inlineStr">
        <is>
          <t>Paramètre</t>
        </is>
      </c>
      <c r="C37" s="103" t="n"/>
      <c r="D37" s="78" t="inlineStr">
        <is>
          <t>Valeur (à saisir)</t>
        </is>
      </c>
      <c r="E37" s="103" t="n"/>
      <c r="F37" s="78" t="inlineStr">
        <is>
          <t>Unité</t>
        </is>
      </c>
      <c r="G37" s="103" t="n"/>
      <c r="H37" s="78" t="inlineStr">
        <is>
          <t>Commentaire / aide</t>
        </is>
      </c>
      <c r="I37" s="104" t="n"/>
      <c r="J37" s="103" t="n"/>
    </row>
    <row r="38">
      <c r="B38" s="79" t="inlineStr">
        <is>
          <t>Apport personnel</t>
        </is>
      </c>
      <c r="C38" s="103" t="n"/>
      <c r="D38" s="80" t="n">
        <v>30000</v>
      </c>
      <c r="E38" s="105" t="n"/>
      <c r="F38" s="81" t="inlineStr">
        <is>
          <t>EUR</t>
        </is>
      </c>
      <c r="G38" s="103" t="n"/>
      <c r="H38" s="79" t="inlineStr"/>
      <c r="I38" s="104" t="n"/>
      <c r="J38" s="103" t="n"/>
    </row>
    <row r="39">
      <c r="B39" s="79" t="inlineStr">
        <is>
          <t>Emprunt prévu</t>
        </is>
      </c>
      <c r="C39" s="103" t="n"/>
      <c r="D39" s="80" t="n">
        <v>20000</v>
      </c>
      <c r="E39" s="105" t="n"/>
      <c r="F39" s="81" t="inlineStr">
        <is>
          <t>EUR</t>
        </is>
      </c>
      <c r="G39" s="103" t="n"/>
      <c r="H39" s="79" t="inlineStr"/>
      <c r="I39" s="104" t="n"/>
      <c r="J39" s="103" t="n"/>
    </row>
    <row r="40">
      <c r="B40" s="79" t="inlineStr">
        <is>
          <t>Charges fixes mensuelles</t>
        </is>
      </c>
      <c r="C40" s="103" t="n"/>
      <c r="D40" s="80" t="n">
        <v>3000</v>
      </c>
      <c r="E40" s="105" t="n"/>
      <c r="F40" s="81" t="inlineStr">
        <is>
          <t>EUR/mois</t>
        </is>
      </c>
      <c r="G40" s="103" t="n"/>
      <c r="H40" s="79" t="inlineStr">
        <is>
          <t>Loyer, assurances, outils…</t>
        </is>
      </c>
      <c r="I40" s="104" t="n"/>
      <c r="J40" s="103" t="n"/>
    </row>
    <row r="41">
      <c r="B41" s="79" t="inlineStr">
        <is>
          <t>Trésorerie de sécurité (mois)</t>
        </is>
      </c>
      <c r="C41" s="103" t="n"/>
      <c r="D41" s="80" t="n">
        <v>6</v>
      </c>
      <c r="E41" s="105" t="n"/>
      <c r="F41" s="81" t="inlineStr">
        <is>
          <t>mois</t>
        </is>
      </c>
      <c r="G41" s="103" t="n"/>
      <c r="H41" s="79" t="inlineStr">
        <is>
          <t>Minimum recommandé : 6</t>
        </is>
      </c>
      <c r="I41" s="104" t="n"/>
      <c r="J41" s="103" t="n"/>
    </row>
    <row r="44" ht="20" customHeight="1" s="46">
      <c r="B44" s="77" t="inlineStr">
        <is>
          <t>4) Suivi — statut des tâches (saisie = colonne Statut)</t>
        </is>
      </c>
    </row>
    <row r="45">
      <c r="B45" s="78" t="inlineStr">
        <is>
          <t>ID</t>
        </is>
      </c>
      <c r="C45" s="78" t="inlineStr">
        <is>
          <t>Tâche</t>
        </is>
      </c>
      <c r="D45" s="103" t="n"/>
      <c r="E45" s="78" t="inlineStr">
        <is>
          <t>Statut</t>
        </is>
      </c>
      <c r="F45" s="104" t="n"/>
      <c r="G45" s="103" t="n"/>
      <c r="H45" s="78" t="inlineStr">
        <is>
          <t>Commentaire</t>
        </is>
      </c>
      <c r="I45" s="104" t="n"/>
      <c r="J45" s="103" t="n"/>
    </row>
    <row r="46">
      <c r="B46" s="81" t="inlineStr">
        <is>
          <t>0.1</t>
        </is>
      </c>
      <c r="C46" s="79" t="inlineStr">
        <is>
          <t>Autodiagnostic maturité</t>
        </is>
      </c>
      <c r="D46" s="103" t="n"/>
      <c r="E46" s="83" t="inlineStr">
        <is>
          <t>A faire</t>
        </is>
      </c>
      <c r="F46" s="106" t="n"/>
      <c r="G46" s="105" t="n"/>
      <c r="H46" s="82" t="n"/>
      <c r="I46" s="104" t="n"/>
      <c r="J46" s="103" t="n"/>
    </row>
    <row r="47">
      <c r="B47" s="81" t="inlineStr">
        <is>
          <t>0.2</t>
        </is>
      </c>
      <c r="C47" s="79" t="inlineStr">
        <is>
          <t>Étude marché</t>
        </is>
      </c>
      <c r="D47" s="103" t="n"/>
      <c r="E47" s="83" t="inlineStr">
        <is>
          <t>A faire</t>
        </is>
      </c>
      <c r="F47" s="106" t="n"/>
      <c r="G47" s="105" t="n"/>
      <c r="H47" s="82" t="n"/>
      <c r="I47" s="104" t="n"/>
      <c r="J47" s="103" t="n"/>
    </row>
    <row r="48">
      <c r="B48" s="81" t="inlineStr">
        <is>
          <t>0.3</t>
        </is>
      </c>
      <c r="C48" s="79" t="inlineStr">
        <is>
          <t>SWOT + BMC</t>
        </is>
      </c>
      <c r="D48" s="103" t="n"/>
      <c r="E48" s="83" t="inlineStr">
        <is>
          <t>A faire</t>
        </is>
      </c>
      <c r="F48" s="106" t="n"/>
      <c r="G48" s="105" t="n"/>
      <c r="H48" s="82" t="n"/>
      <c r="I48" s="104" t="n"/>
      <c r="J48" s="103" t="n"/>
    </row>
    <row r="49">
      <c r="B49" s="81" t="inlineStr">
        <is>
          <t>0.4</t>
        </is>
      </c>
      <c r="C49" s="79" t="inlineStr">
        <is>
          <t>Prévisionnel financier</t>
        </is>
      </c>
      <c r="D49" s="103" t="n"/>
      <c r="E49" s="83" t="inlineStr">
        <is>
          <t>A faire</t>
        </is>
      </c>
      <c r="F49" s="106" t="n"/>
      <c r="G49" s="105" t="n"/>
      <c r="H49" s="82" t="n"/>
      <c r="I49" s="104" t="n"/>
      <c r="J49" s="103" t="n"/>
    </row>
    <row r="50">
      <c r="B50" s="81" t="inlineStr">
        <is>
          <t>0.5</t>
        </is>
      </c>
      <c r="C50" s="79" t="inlineStr">
        <is>
          <t>Architecture SI</t>
        </is>
      </c>
      <c r="D50" s="103" t="n"/>
      <c r="E50" s="83" t="inlineStr">
        <is>
          <t>A faire</t>
        </is>
      </c>
      <c r="F50" s="106" t="n"/>
      <c r="G50" s="105" t="n"/>
      <c r="H50" s="82" t="n"/>
      <c r="I50" s="104" t="n"/>
      <c r="J50" s="103" t="n"/>
    </row>
    <row r="51">
      <c r="B51" s="81" t="inlineStr">
        <is>
          <t>0.6</t>
        </is>
      </c>
      <c r="C51" s="79" t="inlineStr">
        <is>
          <t>Formation IA &amp; Data (AI Act)</t>
        </is>
      </c>
      <c r="D51" s="103" t="n"/>
      <c r="E51" s="83" t="inlineStr">
        <is>
          <t>A faire</t>
        </is>
      </c>
      <c r="F51" s="106" t="n"/>
      <c r="G51" s="105" t="n"/>
      <c r="H51" s="82" t="n"/>
      <c r="I51" s="104" t="n"/>
      <c r="J51" s="103" t="n"/>
    </row>
    <row r="52">
      <c r="B52" s="81" t="inlineStr">
        <is>
          <t>1.1</t>
        </is>
      </c>
      <c r="C52" s="79" t="inlineStr">
        <is>
          <t>Statuts + immatriculation</t>
        </is>
      </c>
      <c r="D52" s="103" t="n"/>
      <c r="E52" s="83" t="inlineStr">
        <is>
          <t>A faire</t>
        </is>
      </c>
      <c r="F52" s="106" t="n"/>
      <c r="G52" s="105" t="n"/>
      <c r="H52" s="82" t="n"/>
      <c r="I52" s="104" t="n"/>
      <c r="J52" s="103" t="n"/>
    </row>
    <row r="53">
      <c r="B53" s="81" t="inlineStr">
        <is>
          <t>1.2</t>
        </is>
      </c>
      <c r="C53" s="79" t="inlineStr">
        <is>
          <t>Inscription à l’Ordre</t>
        </is>
      </c>
      <c r="D53" s="103" t="n"/>
      <c r="E53" s="83" t="inlineStr">
        <is>
          <t>A faire</t>
        </is>
      </c>
      <c r="F53" s="106" t="n"/>
      <c r="G53" s="105" t="n"/>
      <c r="H53" s="82" t="n"/>
      <c r="I53" s="104" t="n"/>
      <c r="J53" s="103" t="n"/>
    </row>
    <row r="54">
      <c r="B54" s="81" t="inlineStr">
        <is>
          <t>1.3</t>
        </is>
      </c>
      <c r="C54" s="79" t="inlineStr">
        <is>
          <t>Assurance RCP</t>
        </is>
      </c>
      <c r="D54" s="103" t="n"/>
      <c r="E54" s="83" t="inlineStr">
        <is>
          <t>A faire</t>
        </is>
      </c>
      <c r="F54" s="106" t="n"/>
      <c r="G54" s="105" t="n"/>
      <c r="H54" s="82" t="n"/>
      <c r="I54" s="104" t="n"/>
      <c r="J54" s="103" t="n"/>
    </row>
    <row r="55">
      <c r="B55" s="81" t="inlineStr">
        <is>
          <t>2.1</t>
        </is>
      </c>
      <c r="C55" s="79" t="inlineStr">
        <is>
          <t>Déploiement logiciel</t>
        </is>
      </c>
      <c r="D55" s="103" t="n"/>
      <c r="E55" s="83" t="inlineStr">
        <is>
          <t>A faire</t>
        </is>
      </c>
      <c r="F55" s="106" t="n"/>
      <c r="G55" s="105" t="n"/>
      <c r="H55" s="82" t="n"/>
      <c r="I55" s="104" t="n"/>
      <c r="J55" s="103" t="n"/>
    </row>
    <row r="56">
      <c r="B56" s="81" t="inlineStr">
        <is>
          <t>2.2</t>
        </is>
      </c>
      <c r="C56" s="79" t="inlineStr">
        <is>
          <t>RGPD</t>
        </is>
      </c>
      <c r="D56" s="103" t="n"/>
      <c r="E56" s="83" t="inlineStr">
        <is>
          <t>A faire</t>
        </is>
      </c>
      <c r="F56" s="106" t="n"/>
      <c r="G56" s="105" t="n"/>
      <c r="H56" s="82" t="n"/>
      <c r="I56" s="104" t="n"/>
      <c r="J56" s="103" t="n"/>
    </row>
    <row r="57">
      <c r="B57" s="81" t="inlineStr">
        <is>
          <t>2.3</t>
        </is>
      </c>
      <c r="C57" s="79" t="inlineStr">
        <is>
          <t>Cybersécurité</t>
        </is>
      </c>
      <c r="D57" s="103" t="n"/>
      <c r="E57" s="83" t="inlineStr">
        <is>
          <t>A faire</t>
        </is>
      </c>
      <c r="F57" s="106" t="n"/>
      <c r="G57" s="105" t="n"/>
      <c r="H57" s="82" t="n"/>
      <c r="I57" s="104" t="n"/>
      <c r="J57" s="103" t="n"/>
    </row>
    <row r="58">
      <c r="B58" s="81" t="inlineStr">
        <is>
          <t>2.4</t>
        </is>
      </c>
      <c r="C58" s="79" t="inlineStr">
        <is>
          <t>Choix PA (ex-PDP) / portail facture électronique</t>
        </is>
      </c>
      <c r="D58" s="103" t="n"/>
      <c r="E58" s="83" t="inlineStr">
        <is>
          <t>A faire</t>
        </is>
      </c>
      <c r="F58" s="106" t="n"/>
      <c r="G58" s="105" t="n"/>
      <c r="H58" s="82" t="n"/>
      <c r="I58" s="104" t="n"/>
      <c r="J58" s="103" t="n"/>
    </row>
    <row r="59">
      <c r="B59" s="81" t="inlineStr">
        <is>
          <t>3.1</t>
        </is>
      </c>
      <c r="C59" s="79" t="inlineStr">
        <is>
          <t>Site web</t>
        </is>
      </c>
      <c r="D59" s="103" t="n"/>
      <c r="E59" s="83" t="inlineStr">
        <is>
          <t>A faire</t>
        </is>
      </c>
      <c r="F59" s="106" t="n"/>
      <c r="G59" s="105" t="n"/>
      <c r="H59" s="82" t="n"/>
      <c r="I59" s="104" t="n"/>
      <c r="J59" s="103" t="n"/>
    </row>
    <row r="60">
      <c r="B60" s="81" t="inlineStr">
        <is>
          <t>3.2</t>
        </is>
      </c>
      <c r="C60" s="79" t="inlineStr">
        <is>
          <t>Onboarding clients</t>
        </is>
      </c>
      <c r="D60" s="103" t="n"/>
      <c r="E60" s="83" t="inlineStr">
        <is>
          <t>A faire</t>
        </is>
      </c>
      <c r="F60" s="106" t="n"/>
      <c r="G60" s="105" t="n"/>
      <c r="H60" s="82" t="n"/>
      <c r="I60" s="104" t="n"/>
      <c r="J60" s="103" t="n"/>
    </row>
    <row r="61">
      <c r="B61" s="81" t="inlineStr">
        <is>
          <t>3.3</t>
        </is>
      </c>
      <c r="C61" s="79" t="inlineStr">
        <is>
          <t>Process standardisés</t>
        </is>
      </c>
      <c r="D61" s="103" t="n"/>
      <c r="E61" s="83" t="inlineStr">
        <is>
          <t>A faire</t>
        </is>
      </c>
      <c r="F61" s="106" t="n"/>
      <c r="G61" s="105" t="n"/>
      <c r="H61" s="82" t="n"/>
      <c r="I61" s="104" t="n"/>
      <c r="J61" s="103" t="n"/>
    </row>
    <row r="62">
      <c r="B62" s="81" t="inlineStr">
        <is>
          <t>4.1</t>
        </is>
      </c>
      <c r="C62" s="79" t="inlineStr">
        <is>
          <t>Développement clients</t>
        </is>
      </c>
      <c r="D62" s="103" t="n"/>
      <c r="E62" s="83" t="inlineStr">
        <is>
          <t>A faire</t>
        </is>
      </c>
      <c r="F62" s="106" t="n"/>
      <c r="G62" s="105" t="n"/>
      <c r="H62" s="82" t="n"/>
      <c r="I62" s="104" t="n"/>
      <c r="J62" s="103" t="n"/>
    </row>
    <row r="63">
      <c r="B63" s="81" t="inlineStr">
        <is>
          <t>4.2</t>
        </is>
      </c>
      <c r="C63" s="79" t="inlineStr">
        <is>
          <t>Automatisations (ROI)</t>
        </is>
      </c>
      <c r="D63" s="103" t="n"/>
      <c r="E63" s="83" t="inlineStr">
        <is>
          <t>A faire</t>
        </is>
      </c>
      <c r="F63" s="106" t="n"/>
      <c r="G63" s="105" t="n"/>
      <c r="H63" s="82" t="n"/>
      <c r="I63" s="104" t="n"/>
      <c r="J63" s="103" t="n"/>
    </row>
    <row r="64">
      <c r="B64" s="81" t="inlineStr">
        <is>
          <t>4.3</t>
        </is>
      </c>
      <c r="C64" s="79" t="inlineStr">
        <is>
          <t>Audit cybersécurité (Label Cyber)</t>
        </is>
      </c>
      <c r="D64" s="103" t="n"/>
      <c r="E64" s="83" t="inlineStr">
        <is>
          <t>A faire</t>
        </is>
      </c>
      <c r="F64" s="106" t="n"/>
      <c r="G64" s="105" t="n"/>
      <c r="H64" s="82" t="n"/>
      <c r="I64" s="104" t="n"/>
      <c r="J64" s="103" t="n"/>
    </row>
    <row r="65">
      <c r="B65" s="81" t="inlineStr">
        <is>
          <t>4.4</t>
        </is>
      </c>
      <c r="C65" s="79" t="inlineStr">
        <is>
          <t>Offre « Conseil e-facture »</t>
        </is>
      </c>
      <c r="D65" s="103" t="n"/>
      <c r="E65" s="83" t="inlineStr">
        <is>
          <t>A faire</t>
        </is>
      </c>
      <c r="F65" s="106" t="n"/>
      <c r="G65" s="105" t="n"/>
      <c r="H65" s="82" t="n"/>
      <c r="I65" s="104" t="n"/>
      <c r="J65" s="103" t="n"/>
    </row>
    <row r="66">
      <c r="B66" s="81" t="inlineStr">
        <is>
          <t>5.1</t>
        </is>
      </c>
      <c r="C66" s="79" t="inlineStr">
        <is>
          <t>Recrutement</t>
        </is>
      </c>
      <c r="D66" s="103" t="n"/>
      <c r="E66" s="83" t="inlineStr">
        <is>
          <t>A faire</t>
        </is>
      </c>
      <c r="F66" s="106" t="n"/>
      <c r="G66" s="105" t="n"/>
      <c r="H66" s="82" t="n"/>
      <c r="I66" s="104" t="n"/>
      <c r="J66" s="103" t="n"/>
    </row>
    <row r="67">
      <c r="B67" s="81" t="inlineStr">
        <is>
          <t>5.2</t>
        </is>
      </c>
      <c r="C67" s="79" t="inlineStr">
        <is>
          <t>Intégration collaborateur</t>
        </is>
      </c>
      <c r="D67" s="103" t="n"/>
      <c r="E67" s="83" t="inlineStr">
        <is>
          <t>A faire</t>
        </is>
      </c>
      <c r="F67" s="106" t="n"/>
      <c r="G67" s="105" t="n"/>
      <c r="H67" s="82" t="n"/>
      <c r="I67" s="104" t="n"/>
      <c r="J67" s="103" t="n"/>
    </row>
    <row r="68">
      <c r="B68" s="81" t="inlineStr">
        <is>
          <t>5.3</t>
        </is>
      </c>
      <c r="C68" s="79" t="inlineStr">
        <is>
          <t>Bilan annuel</t>
        </is>
      </c>
      <c r="D68" s="103" t="n"/>
      <c r="E68" s="83" t="inlineStr">
        <is>
          <t>A faire</t>
        </is>
      </c>
      <c r="F68" s="106" t="n"/>
      <c r="G68" s="105" t="n"/>
      <c r="H68" s="82" t="n"/>
      <c r="I68" s="104" t="n"/>
      <c r="J68" s="103" t="n"/>
    </row>
    <row r="69">
      <c r="B69" s="81" t="inlineStr">
        <is>
          <t>6.1</t>
        </is>
      </c>
      <c r="C69" s="79" t="inlineStr">
        <is>
          <t>Formation continue (récurrente)</t>
        </is>
      </c>
      <c r="D69" s="103" t="n"/>
      <c r="E69" s="83" t="inlineStr">
        <is>
          <t>A faire</t>
        </is>
      </c>
      <c r="F69" s="106" t="n"/>
      <c r="G69" s="105" t="n"/>
      <c r="H69" s="82" t="n"/>
      <c r="I69" s="104" t="n"/>
      <c r="J69" s="10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97">
    <mergeCell ref="D20:E20"/>
    <mergeCell ref="C62:D62"/>
    <mergeCell ref="F29:G29"/>
    <mergeCell ref="F16:G16"/>
    <mergeCell ref="F25:G25"/>
    <mergeCell ref="B22:C22"/>
    <mergeCell ref="D22:E22"/>
    <mergeCell ref="B31:C31"/>
    <mergeCell ref="H17:J17"/>
    <mergeCell ref="D31:E31"/>
    <mergeCell ref="C64:D64"/>
    <mergeCell ref="H11:J11"/>
    <mergeCell ref="H69:J69"/>
    <mergeCell ref="B12:C12"/>
    <mergeCell ref="B21:C21"/>
    <mergeCell ref="C54:D54"/>
    <mergeCell ref="F15:G15"/>
    <mergeCell ref="H22:J22"/>
    <mergeCell ref="H66:J66"/>
    <mergeCell ref="D13:E13"/>
    <mergeCell ref="H19:J19"/>
    <mergeCell ref="C63:D63"/>
    <mergeCell ref="C50:D50"/>
    <mergeCell ref="E57:G57"/>
    <mergeCell ref="B14:C14"/>
    <mergeCell ref="C56:D56"/>
    <mergeCell ref="B24:J24"/>
    <mergeCell ref="B13:C13"/>
    <mergeCell ref="B38:C38"/>
    <mergeCell ref="H30:J30"/>
    <mergeCell ref="E58:G58"/>
    <mergeCell ref="F13:G13"/>
    <mergeCell ref="B40:C40"/>
    <mergeCell ref="H29:J29"/>
    <mergeCell ref="H38:J38"/>
    <mergeCell ref="B3:J3"/>
    <mergeCell ref="B33:C33"/>
    <mergeCell ref="C67:D67"/>
    <mergeCell ref="D33:E33"/>
    <mergeCell ref="H31:J31"/>
    <mergeCell ref="H58:J58"/>
    <mergeCell ref="B32:C32"/>
    <mergeCell ref="H40:J40"/>
    <mergeCell ref="B26:C26"/>
    <mergeCell ref="B41:C41"/>
    <mergeCell ref="D26:E26"/>
    <mergeCell ref="H64:J64"/>
    <mergeCell ref="H21:J21"/>
    <mergeCell ref="C69:D69"/>
    <mergeCell ref="B2:J2"/>
    <mergeCell ref="H51:J51"/>
    <mergeCell ref="B16:C16"/>
    <mergeCell ref="D10:E10"/>
    <mergeCell ref="H60:J60"/>
    <mergeCell ref="B25:C25"/>
    <mergeCell ref="F10:G10"/>
    <mergeCell ref="D19:E19"/>
    <mergeCell ref="D34:E34"/>
    <mergeCell ref="E60:G60"/>
    <mergeCell ref="F19:G19"/>
    <mergeCell ref="F34:G34"/>
    <mergeCell ref="E69:G69"/>
    <mergeCell ref="C45:D45"/>
    <mergeCell ref="B18:C18"/>
    <mergeCell ref="B27:C27"/>
    <mergeCell ref="E59:G59"/>
    <mergeCell ref="B45"/>
    <mergeCell ref="H16:J16"/>
    <mergeCell ref="E46:G46"/>
    <mergeCell ref="F30:G30"/>
    <mergeCell ref="C47:D47"/>
    <mergeCell ref="B11:C11"/>
    <mergeCell ref="D11:E11"/>
    <mergeCell ref="H57:J57"/>
    <mergeCell ref="I7:J7"/>
    <mergeCell ref="F20:G20"/>
    <mergeCell ref="F18:G18"/>
    <mergeCell ref="H27:J27"/>
    <mergeCell ref="F33:G33"/>
    <mergeCell ref="E61:G61"/>
    <mergeCell ref="F17:G17"/>
    <mergeCell ref="E54:G54"/>
    <mergeCell ref="H33:J33"/>
    <mergeCell ref="B29:C29"/>
    <mergeCell ref="C60:D60"/>
    <mergeCell ref="B37:C37"/>
    <mergeCell ref="D37:E37"/>
    <mergeCell ref="E47:G47"/>
    <mergeCell ref="F31:G31"/>
    <mergeCell ref="E56:G56"/>
    <mergeCell ref="F28:G28"/>
    <mergeCell ref="H67:J67"/>
    <mergeCell ref="H20:J20"/>
    <mergeCell ref="D39:E39"/>
    <mergeCell ref="F39:G39"/>
    <mergeCell ref="B15:C15"/>
    <mergeCell ref="D15:E15"/>
    <mergeCell ref="D29:E29"/>
    <mergeCell ref="C57:D57"/>
    <mergeCell ref="D38:E38"/>
    <mergeCell ref="C66:D66"/>
    <mergeCell ref="C53:D53"/>
    <mergeCell ref="H59:J59"/>
    <mergeCell ref="E63:G63"/>
    <mergeCell ref="H46:J46"/>
    <mergeCell ref="C68:D68"/>
    <mergeCell ref="H52:J52"/>
    <mergeCell ref="C58:D58"/>
    <mergeCell ref="E65:G65"/>
    <mergeCell ref="H61:J61"/>
    <mergeCell ref="B44:J44"/>
    <mergeCell ref="H45:J45"/>
    <mergeCell ref="F21:G21"/>
    <mergeCell ref="H32:J32"/>
    <mergeCell ref="E45:G45"/>
    <mergeCell ref="C65:D65"/>
    <mergeCell ref="H13:J13"/>
    <mergeCell ref="D27:E27"/>
    <mergeCell ref="H65:J65"/>
    <mergeCell ref="H47:J47"/>
    <mergeCell ref="B9:J9"/>
    <mergeCell ref="B17:C17"/>
    <mergeCell ref="D17:E17"/>
    <mergeCell ref="C59:D59"/>
    <mergeCell ref="H15:J15"/>
    <mergeCell ref="C46:D46"/>
    <mergeCell ref="H18:J18"/>
    <mergeCell ref="B19:C19"/>
    <mergeCell ref="B34:C34"/>
    <mergeCell ref="C51:D51"/>
    <mergeCell ref="B28:C28"/>
    <mergeCell ref="D28:E28"/>
    <mergeCell ref="C61:D61"/>
    <mergeCell ref="F22:G22"/>
    <mergeCell ref="I6:J6"/>
    <mergeCell ref="H26:J26"/>
    <mergeCell ref="C48:D48"/>
    <mergeCell ref="H53:J53"/>
    <mergeCell ref="D12:E12"/>
    <mergeCell ref="D25:E25"/>
    <mergeCell ref="E62:G62"/>
    <mergeCell ref="B30:C30"/>
    <mergeCell ref="H10:J10"/>
    <mergeCell ref="H63:J63"/>
    <mergeCell ref="D30:E30"/>
    <mergeCell ref="H50:J50"/>
    <mergeCell ref="B20:C20"/>
    <mergeCell ref="H55:J55"/>
    <mergeCell ref="D14:E14"/>
    <mergeCell ref="H34:J34"/>
    <mergeCell ref="F14:G14"/>
    <mergeCell ref="E64:G64"/>
    <mergeCell ref="H39:J39"/>
    <mergeCell ref="E51:G51"/>
    <mergeCell ref="C49:D49"/>
    <mergeCell ref="H49:J49"/>
    <mergeCell ref="F11:G11"/>
    <mergeCell ref="D40:E40"/>
    <mergeCell ref="F40:G40"/>
    <mergeCell ref="D21:E21"/>
    <mergeCell ref="B39:C39"/>
    <mergeCell ref="F12:G12"/>
    <mergeCell ref="E49:G49"/>
    <mergeCell ref="H28:J28"/>
    <mergeCell ref="H37:J37"/>
    <mergeCell ref="C55:D55"/>
    <mergeCell ref="D32:E32"/>
    <mergeCell ref="H12:J12"/>
    <mergeCell ref="F32:G32"/>
    <mergeCell ref="D41:E41"/>
    <mergeCell ref="F26:G26"/>
    <mergeCell ref="F41:G41"/>
    <mergeCell ref="H48:J48"/>
    <mergeCell ref="D16:E16"/>
    <mergeCell ref="H62:J62"/>
    <mergeCell ref="E66:G66"/>
    <mergeCell ref="F38:G38"/>
    <mergeCell ref="H14:J14"/>
    <mergeCell ref="B36:J36"/>
    <mergeCell ref="E53:G53"/>
    <mergeCell ref="B10:C10"/>
    <mergeCell ref="E50:G50"/>
    <mergeCell ref="I5:J5"/>
    <mergeCell ref="C52:D52"/>
    <mergeCell ref="D18:E18"/>
    <mergeCell ref="F27:G27"/>
    <mergeCell ref="E68:G68"/>
    <mergeCell ref="E55:G55"/>
    <mergeCell ref="F37:G37"/>
    <mergeCell ref="H54:J54"/>
    <mergeCell ref="E52:G52"/>
    <mergeCell ref="E67:G67"/>
    <mergeCell ref="H41:J41"/>
    <mergeCell ref="E48:G48"/>
    <mergeCell ref="H56:J56"/>
    <mergeCell ref="H68:J68"/>
    <mergeCell ref="H25:J25"/>
  </mergeCells>
  <dataValidations count="1">
    <dataValidation sqref="E46:E69" showDropDown="0" showInputMessage="0" showErrorMessage="0" allowBlank="0" type="list">
      <formula1>"A faire,En cours,Terminé,Bloquant"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87"/>
  <sheetViews>
    <sheetView topLeftCell="A63" zoomScaleNormal="100" workbookViewId="0">
      <selection activeCell="A1" sqref="A1"/>
    </sheetView>
  </sheetViews>
  <sheetFormatPr baseColWidth="10" defaultColWidth="8.6640625" defaultRowHeight="14.4"/>
  <cols>
    <col width="3" customWidth="1" style="46" min="1" max="1"/>
    <col width="18" customWidth="1" style="46" min="2" max="2"/>
    <col width="80" customWidth="1" style="46" min="3" max="3"/>
  </cols>
  <sheetData>
    <row r="2" ht="26.25" customHeight="1" s="46">
      <c r="B2" s="51" t="inlineStr">
        <is>
          <t>ANNEXE 4 - DIAGRAMME DE GANTT INTERACTIF</t>
        </is>
      </c>
    </row>
    <row r="3" ht="15" customHeight="1" s="46">
      <c r="B3" s="52" t="inlineStr">
        <is>
          <t>Outil de pilotage strategique pour la creation d'un cabinet d'expertise comptable 100% numerique</t>
        </is>
      </c>
    </row>
    <row r="5" ht="17.25" customHeight="1" s="46">
      <c r="B5" s="53" t="inlineStr">
        <is>
          <t>1. OBJECTIF DE CET OUTIL</t>
        </is>
      </c>
    </row>
    <row r="6" ht="15" customHeight="1" s="46">
      <c r="B6" s="2" t="n"/>
    </row>
    <row r="7" ht="15" customHeight="1" s="46">
      <c r="B7" s="2" t="inlineStr">
        <is>
          <t>Cet outil n'est PAS un simple planning. C'est un OUTIL D'ARBITRAGE du dirigeant-expert-comptable qui permet de :</t>
        </is>
      </c>
    </row>
    <row r="8" ht="15" customHeight="1" s="46">
      <c r="B8" s="2" t="n"/>
    </row>
    <row r="9" ht="15" customHeight="1" s="46">
      <c r="B9" s="2" t="inlineStr">
        <is>
          <t xml:space="preserve">   PILOTER      : Visualiser ou vous en etes dans votre projet de creation</t>
        </is>
      </c>
    </row>
    <row r="10" ht="15" customHeight="1" s="46">
      <c r="B10" s="2" t="inlineStr">
        <is>
          <t xml:space="preserve">   DECIDER      : Savoir quoi faire MAINTENANT et quoi EVITER</t>
        </is>
      </c>
    </row>
    <row r="11" ht="15" customHeight="1" s="46">
      <c r="B11" s="2" t="inlineStr">
        <is>
          <t xml:space="preserve">   SECURISER    : Identifier les risques majeurs par periode</t>
        </is>
      </c>
    </row>
    <row r="12" ht="15" customHeight="1" s="46">
      <c r="B12" s="2" t="inlineStr">
        <is>
          <t xml:space="preserve">   ARBITRER     : Conditionner les decisions RH/SI aux seuils financiers</t>
        </is>
      </c>
    </row>
    <row r="13" ht="15" customHeight="1" s="46">
      <c r="B13" s="2" t="n"/>
    </row>
    <row r="14" ht="15" customHeight="1" s="46">
      <c r="B14" s="2" t="inlineStr">
        <is>
          <t>Le Gantt est pilote par l'economie : le passage d'une periode a l'autre depend de criteres financiers, pas de dates.</t>
        </is>
      </c>
    </row>
    <row r="16" ht="17.25" customHeight="1" s="46">
      <c r="B16" s="54" t="inlineStr">
        <is>
          <t>2. COMMENT UTILISER CET OUTIL (5 ETAPES)</t>
        </is>
      </c>
    </row>
    <row r="17" ht="15" customHeight="1" s="46">
      <c r="B17" s="2" t="n"/>
    </row>
    <row r="18" ht="15" customHeight="1" s="46">
      <c r="B18" s="2" t="inlineStr">
        <is>
          <t>ETAPE 1 : Remplissez l'onglet '2-Mon Projet' avec VOS donnees personnelles</t>
        </is>
      </c>
    </row>
    <row r="19" ht="15" customHeight="1" s="46">
      <c r="B19" s="2" t="inlineStr">
        <is>
          <t xml:space="preserve">          -&gt; Toutes les cellules JAUNES doivent etre completees</t>
        </is>
      </c>
    </row>
    <row r="20" ht="15" customHeight="1" s="46">
      <c r="B20" s="2" t="inlineStr">
        <is>
          <t xml:space="preserve">          -&gt; Vos choix impactent automatiquement TOUS les autres onglets</t>
        </is>
      </c>
    </row>
    <row r="21" ht="15" customHeight="1" s="46">
      <c r="B21" s="2" t="n"/>
    </row>
    <row r="22" ht="15" customHeight="1" s="46">
      <c r="B22" s="2" t="inlineStr">
        <is>
          <t>ETAPE 2 : Consultez l'onglet '3-Periodes' pour voir les 4 phases de votre projet</t>
        </is>
      </c>
    </row>
    <row r="23" ht="15" customHeight="1" s="46">
      <c r="B23" s="2" t="inlineStr">
        <is>
          <t xml:space="preserve">          -&gt; Chaque periode a ses objectifs, interdictions, et conditions de passage</t>
        </is>
      </c>
    </row>
    <row r="24" ht="15" customHeight="1" s="46">
      <c r="B24" s="2" t="inlineStr">
        <is>
          <t xml:space="preserve">          -&gt; Les indicateurs GO/NO GO vous guident</t>
        </is>
      </c>
    </row>
    <row r="25" ht="15" customHeight="1" s="46">
      <c r="B25" s="2" t="n"/>
    </row>
    <row r="26" ht="15" customHeight="1" s="46">
      <c r="B26" s="2" t="inlineStr">
        <is>
          <t>ETAPE 3 : Utilisez l'onglet '4-Gantt' pour visualiser le planning</t>
        </is>
      </c>
    </row>
    <row r="27" ht="15" customHeight="1" s="46">
      <c r="B27" s="2" t="inlineStr">
        <is>
          <t xml:space="preserve">          -&gt; Les barres se positionnent automatiquement</t>
        </is>
      </c>
    </row>
    <row r="28" ht="15" customHeight="1" s="46">
      <c r="B28" s="2" t="inlineStr">
        <is>
          <t xml:space="preserve">          -&gt; Le chemin critique est en ROUGE</t>
        </is>
      </c>
    </row>
    <row r="29" ht="15" customHeight="1" s="46">
      <c r="B29" s="2" t="n"/>
    </row>
    <row r="30" ht="15" customHeight="1" s="46">
      <c r="B30" s="2" t="inlineStr">
        <is>
          <t>ETAPE 4 : Suivez l'avancement dans l'onglet '5-Suivi'</t>
        </is>
      </c>
    </row>
    <row r="31" ht="15" customHeight="1" s="46">
      <c r="B31" s="2" t="inlineStr">
        <is>
          <t xml:space="preserve">          -&gt; Mettez a jour le STATUT de chaque tache</t>
        </is>
      </c>
    </row>
    <row r="32" ht="15" customHeight="1" s="46">
      <c r="B32" s="2" t="inlineStr">
        <is>
          <t xml:space="preserve">          -&gt; L'avancement global est calcule automatiquement</t>
        </is>
      </c>
    </row>
    <row r="33" ht="15" customHeight="1" s="46">
      <c r="B33" s="2" t="n"/>
    </row>
    <row r="34" ht="15" customHeight="1" s="46">
      <c r="B34" s="2" t="inlineStr">
        <is>
          <t>ETAPE 5 : Verifiez les alertes dans l'onglet '6-Alertes'</t>
        </is>
      </c>
    </row>
    <row r="35" ht="15" customHeight="1" s="46">
      <c r="B35" s="2" t="inlineStr">
        <is>
          <t xml:space="preserve">          -&gt; Messages personnalises selon votre profil</t>
        </is>
      </c>
    </row>
    <row r="36" ht="15" customHeight="1" s="46">
      <c r="B36" s="2" t="inlineStr">
        <is>
          <t xml:space="preserve">          -&gt; Erreurs classiques a eviter</t>
        </is>
      </c>
    </row>
    <row r="38" ht="17.25" customHeight="1" s="46">
      <c r="B38" s="55" t="inlineStr">
        <is>
          <t>3. LOGIQUE DE L'OUTIL : LE TEMPS DEPEND DE LA FINANCE</t>
        </is>
      </c>
    </row>
    <row r="39" ht="15" customHeight="1" s="46">
      <c r="B39" s="2" t="n"/>
    </row>
    <row r="40" ht="15" customHeight="1" s="46">
      <c r="B40" s="2" t="inlineStr">
        <is>
          <t>CE GANTT N'EST PAS UN CALENDRIER FIXE. Les passages de periode dependent de CONDITIONS :</t>
        </is>
      </c>
    </row>
    <row r="41" ht="15" customHeight="1" s="46">
      <c r="B41" s="2" t="n"/>
    </row>
    <row r="42" ht="15" customHeight="1" s="46">
      <c r="B42" s="2" t="inlineStr">
        <is>
          <t xml:space="preserve">   Avant M0 -&gt; M0      : Inscription Ordre obtenue + Assurance RCP + Outils operationnels</t>
        </is>
      </c>
    </row>
    <row r="43" ht="15" customHeight="1" s="46">
      <c r="B43" s="2" t="inlineStr">
        <is>
          <t xml:space="preserve">   M0 -&gt; M+3 -&gt; M+6    : CA stabilise + Tresorerie &gt;= 3 mois + Process onboarding OK</t>
        </is>
      </c>
    </row>
    <row r="44" ht="15" customHeight="1" s="46">
      <c r="B44" s="2" t="inlineStr">
        <is>
          <t xml:space="preserve">   M+6 -&gt; M+12         : Marge unitaire positive + CAF positive 2 mois + Infrastructure e-facture opérationnelle (PA (ex-PDP)/OD connecté)</t>
        </is>
      </c>
    </row>
    <row r="45" ht="15" customHeight="1" s="46">
      <c r="B45" s="2" t="inlineStr">
        <is>
          <t xml:space="preserve">   Recrutement         : UNIQUEMENT si seuils financiers atteints (pas avant)</t>
        </is>
      </c>
    </row>
    <row r="46" ht="15" customHeight="1" s="46">
      <c r="B46" s="84" t="inlineStr">
        <is>
          <t>NOUVEAU 2025-2027 : deux dates BLOQUANTES s’ajoutent aux seuils financiers.</t>
        </is>
      </c>
    </row>
    <row r="47" ht="15" customHeight="1" s="46">
      <c r="B47" s="2" t="inlineStr">
        <is>
          <t>CONSEQUENCE : Si vos seuils ne sont pas atteints, vous restez dans la periode actuelle.</t>
        </is>
      </c>
    </row>
    <row r="48" ht="15" customHeight="1" s="46">
      <c r="B48" s="2" t="inlineStr">
        <is>
          <t xml:space="preserve">              Le Gantt s'adapte a VOTRE rythme, pas l'inverse.</t>
        </is>
      </c>
    </row>
    <row r="49" ht="32" customHeight="1" s="46">
      <c r="B49" s="85" t="inlineStr">
        <is>
          <t xml:space="preserve"> - 02/02/2025 : AI Act — AI literacy (formation/compétences IA) applicable
 - 01/09/2026 : Facture électronique — réception obligatoire (choix PA (ex-PDP)/portail requis)</t>
        </is>
      </c>
    </row>
    <row r="50" ht="17.25" customHeight="1" s="46">
      <c r="B50" s="155" t="inlineStr">
        <is>
          <t>4. LÉGENDE DES COULEURS</t>
        </is>
      </c>
      <c r="C50" s="204" t="n"/>
      <c r="D50" s="204" t="n"/>
      <c r="E50" s="204" t="n"/>
      <c r="F50" s="204" t="n"/>
      <c r="G50" s="204" t="n"/>
      <c r="H50" s="204" t="n"/>
      <c r="I50" s="204" t="n"/>
      <c r="J50" s="204" t="n"/>
      <c r="K50" s="204" t="n"/>
      <c r="L50" s="204" t="n"/>
    </row>
    <row r="51">
      <c r="B51" s="156" t="n"/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</row>
    <row r="52" ht="15" customHeight="1" s="46">
      <c r="B52" s="157" t="inlineStr">
        <is>
          <t>Ce fichier utilise une palette de couleurs standardisée :</t>
        </is>
      </c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</row>
    <row r="53" ht="15" customHeight="1" s="46">
      <c r="B53" s="158" t="n"/>
      <c r="C53" s="156" t="n"/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</row>
    <row r="54" ht="15" customHeight="1" s="46">
      <c r="B54" s="205" t="inlineStr">
        <is>
          <t xml:space="preserve">   </t>
        </is>
      </c>
      <c r="C54" s="160" t="inlineStr">
        <is>
          <t>Jaune vif</t>
        </is>
      </c>
      <c r="D54" s="161" t="inlineStr">
        <is>
          <t>→ SAISIE UTILISATEUR : Cellules à remplir manuellement</t>
        </is>
      </c>
      <c r="E54" s="128" t="n"/>
      <c r="F54" s="128" t="n"/>
      <c r="G54" s="128" t="n"/>
      <c r="H54" s="128" t="n"/>
      <c r="I54" s="128" t="n"/>
      <c r="J54" s="128" t="n"/>
      <c r="K54" s="128" t="n"/>
      <c r="L54" s="128" t="n"/>
    </row>
    <row r="55" ht="15" customHeight="1" s="46">
      <c r="B55" s="206" t="inlineStr">
        <is>
          <t xml:space="preserve">   </t>
        </is>
      </c>
      <c r="C55" s="160" t="inlineStr">
        <is>
          <t>Bleu clair</t>
        </is>
      </c>
      <c r="D55" s="161" t="inlineStr">
        <is>
          <t>→ CALCULS AUTOMATIQUES : Ne pas modifier</t>
        </is>
      </c>
      <c r="E55" s="128" t="n"/>
      <c r="F55" s="128" t="n"/>
      <c r="G55" s="128" t="n"/>
      <c r="H55" s="128" t="n"/>
      <c r="I55" s="128" t="n"/>
      <c r="J55" s="128" t="n"/>
      <c r="K55" s="128" t="n"/>
      <c r="L55" s="128" t="n"/>
    </row>
    <row r="56" ht="15" customHeight="1" s="46">
      <c r="B56" s="207" t="inlineStr">
        <is>
          <t xml:space="preserve">   </t>
        </is>
      </c>
      <c r="C56" s="160" t="inlineStr">
        <is>
          <t>Vert clair</t>
        </is>
      </c>
      <c r="D56" s="161" t="inlineStr">
        <is>
          <t>→ CONDITIONS / VALIDATIONS : Points de passage</t>
        </is>
      </c>
      <c r="E56" s="128" t="n"/>
      <c r="F56" s="128" t="n"/>
      <c r="G56" s="128" t="n"/>
      <c r="H56" s="128" t="n"/>
      <c r="I56" s="128" t="n"/>
      <c r="J56" s="128" t="n"/>
      <c r="K56" s="128" t="n"/>
      <c r="L56" s="128" t="n"/>
    </row>
    <row r="57" ht="15" customHeight="1" s="46">
      <c r="B57" s="208" t="inlineStr">
        <is>
          <t xml:space="preserve">   </t>
        </is>
      </c>
      <c r="C57" s="160" t="inlineStr">
        <is>
          <t>Gris clair</t>
        </is>
      </c>
      <c r="D57" s="161" t="inlineStr">
        <is>
          <t>→ STRUCTURE : Lignes de phase et en-têtes</t>
        </is>
      </c>
      <c r="E57" s="128" t="n"/>
      <c r="F57" s="128" t="n"/>
      <c r="G57" s="128" t="n"/>
      <c r="H57" s="128" t="n"/>
      <c r="I57" s="128" t="n"/>
      <c r="J57" s="128" t="n"/>
      <c r="K57" s="128" t="n"/>
      <c r="L57" s="128" t="n"/>
    </row>
    <row r="58">
      <c r="B58" s="209" t="inlineStr">
        <is>
          <t xml:space="preserve">   </t>
        </is>
      </c>
      <c r="C58" s="160" t="inlineStr">
        <is>
          <t>Bleu foncé</t>
        </is>
      </c>
      <c r="D58" s="161" t="inlineStr">
        <is>
          <t>→ TITRES PRINCIPAUX : En-têtes de colonnes</t>
        </is>
      </c>
      <c r="E58" s="128" t="n"/>
      <c r="F58" s="128" t="n"/>
      <c r="G58" s="128" t="n"/>
      <c r="H58" s="128" t="n"/>
      <c r="I58" s="128" t="n"/>
      <c r="J58" s="128" t="n"/>
      <c r="K58" s="128" t="n"/>
      <c r="L58" s="128" t="n"/>
    </row>
    <row r="59" ht="15" customHeight="1" s="46">
      <c r="B59" s="210" t="inlineStr">
        <is>
          <t xml:space="preserve">   </t>
        </is>
      </c>
      <c r="C59" s="160" t="inlineStr">
        <is>
          <t>Rouge clair</t>
        </is>
      </c>
      <c r="D59" s="161" t="inlineStr">
        <is>
          <t>→ ALERTES : Points d'attention majeurs</t>
        </is>
      </c>
      <c r="E59" s="128" t="n"/>
      <c r="F59" s="128" t="n"/>
      <c r="G59" s="128" t="n"/>
      <c r="H59" s="128" t="n"/>
      <c r="I59" s="128" t="n"/>
      <c r="J59" s="128" t="n"/>
      <c r="K59" s="128" t="n"/>
      <c r="L59" s="128" t="n"/>
    </row>
    <row r="60" ht="15" customHeight="1" s="46">
      <c r="B60" s="211" t="inlineStr">
        <is>
          <t xml:space="preserve">   </t>
        </is>
      </c>
      <c r="C60" s="160" t="inlineStr">
        <is>
          <t>Jaune pâle</t>
        </is>
      </c>
      <c r="D60" s="161" t="inlineStr">
        <is>
          <t>→ STATUT EN ATTENTE : Tâches à réaliser</t>
        </is>
      </c>
      <c r="E60" s="128" t="n"/>
      <c r="F60" s="128" t="n"/>
      <c r="G60" s="128" t="n"/>
      <c r="H60" s="128" t="n"/>
      <c r="I60" s="128" t="n"/>
      <c r="J60" s="128" t="n"/>
      <c r="K60" s="128" t="n"/>
      <c r="L60" s="128" t="n"/>
    </row>
    <row r="61" ht="15" customHeight="1" s="46">
      <c r="B61" s="212" t="inlineStr">
        <is>
          <t xml:space="preserve">   </t>
        </is>
      </c>
      <c r="C61" s="160" t="inlineStr">
        <is>
          <t>Rouge vif</t>
        </is>
      </c>
      <c r="D61" s="161" t="inlineStr">
        <is>
          <t>→ CHEMIN CRITIQUE : Aucun retard toléré</t>
        </is>
      </c>
      <c r="E61" s="128" t="n"/>
      <c r="F61" s="128" t="n"/>
      <c r="G61" s="128" t="n"/>
      <c r="H61" s="128" t="n"/>
      <c r="I61" s="128" t="n"/>
      <c r="J61" s="128" t="n"/>
      <c r="K61" s="128" t="n"/>
      <c r="L61" s="128" t="n"/>
    </row>
    <row r="62" ht="15" customHeight="1" s="46">
      <c r="B62" s="156" t="n"/>
      <c r="C62" s="156" t="n"/>
      <c r="D62" s="156" t="n"/>
      <c r="E62" s="156" t="n"/>
      <c r="F62" s="156" t="n"/>
      <c r="G62" s="156" t="n"/>
      <c r="H62" s="156" t="n"/>
      <c r="I62" s="156" t="n"/>
      <c r="J62" s="156" t="n"/>
      <c r="K62" s="156" t="n"/>
      <c r="L62" s="156" t="n"/>
    </row>
    <row r="63">
      <c r="B63" s="156" t="n"/>
      <c r="C63" s="156" t="n"/>
      <c r="D63" s="156" t="n"/>
      <c r="E63" s="156" t="n"/>
      <c r="F63" s="156" t="n"/>
      <c r="G63" s="156" t="n"/>
      <c r="H63" s="156" t="n"/>
      <c r="I63" s="156" t="n"/>
      <c r="J63" s="156" t="n"/>
      <c r="K63" s="156" t="n"/>
      <c r="L63" s="156" t="n"/>
    </row>
    <row r="64" ht="17.25" customHeight="1" s="46">
      <c r="B64" s="169" t="inlineStr">
        <is>
          <t>5. COULEURS DES PHASES (Gantt)</t>
        </is>
      </c>
      <c r="C64" s="213" t="n"/>
      <c r="D64" s="213" t="n"/>
      <c r="E64" s="213" t="n"/>
      <c r="F64" s="213" t="n"/>
      <c r="G64" s="213" t="n"/>
      <c r="H64" s="213" t="n"/>
      <c r="I64" s="213" t="n"/>
      <c r="J64" s="213" t="n"/>
      <c r="K64" s="213" t="n"/>
      <c r="L64" s="213" t="n"/>
    </row>
    <row r="65">
      <c r="B65" s="156" t="n"/>
      <c r="C65" s="156" t="n"/>
      <c r="D65" s="156" t="n"/>
      <c r="E65" s="156" t="n"/>
      <c r="F65" s="156" t="n"/>
      <c r="G65" s="156" t="n"/>
      <c r="H65" s="156" t="n"/>
      <c r="I65" s="156" t="n"/>
      <c r="J65" s="156" t="n"/>
      <c r="K65" s="156" t="n"/>
      <c r="L65" s="156" t="n"/>
    </row>
    <row r="66" ht="15" customHeight="1" s="46">
      <c r="B66" s="214" t="inlineStr">
        <is>
          <t xml:space="preserve">   </t>
        </is>
      </c>
      <c r="C66" s="160" t="inlineStr">
        <is>
          <t>Phase 0</t>
        </is>
      </c>
      <c r="D66" s="161" t="inlineStr">
        <is>
          <t>Préparation</t>
        </is>
      </c>
      <c r="E66" s="156" t="n"/>
      <c r="F66" s="156" t="n"/>
      <c r="G66" s="156" t="n"/>
      <c r="H66" s="156" t="n"/>
      <c r="I66" s="156" t="n"/>
      <c r="J66" s="156" t="n"/>
      <c r="K66" s="156" t="n"/>
      <c r="L66" s="156" t="n"/>
    </row>
    <row r="67" ht="15" customHeight="1" s="46">
      <c r="B67" s="215" t="inlineStr">
        <is>
          <t xml:space="preserve">   </t>
        </is>
      </c>
      <c r="C67" s="160" t="inlineStr">
        <is>
          <t>Phase 1</t>
        </is>
      </c>
      <c r="D67" s="161" t="inlineStr">
        <is>
          <t>Administratif</t>
        </is>
      </c>
      <c r="E67" s="156" t="n"/>
      <c r="F67" s="156" t="n"/>
      <c r="G67" s="156" t="n"/>
      <c r="H67" s="156" t="n"/>
      <c r="I67" s="156" t="n"/>
      <c r="J67" s="156" t="n"/>
      <c r="K67" s="156" t="n"/>
      <c r="L67" s="156" t="n"/>
    </row>
    <row r="68" ht="15" customHeight="1" s="46">
      <c r="B68" s="216" t="inlineStr">
        <is>
          <t xml:space="preserve">   </t>
        </is>
      </c>
      <c r="C68" s="160" t="inlineStr">
        <is>
          <t>Phase 2</t>
        </is>
      </c>
      <c r="D68" s="161" t="inlineStr">
        <is>
          <t>SI &amp; Conformité</t>
        </is>
      </c>
      <c r="E68" s="156" t="n"/>
      <c r="F68" s="156" t="n"/>
      <c r="G68" s="156" t="n"/>
      <c r="H68" s="156" t="n"/>
      <c r="I68" s="156" t="n"/>
      <c r="J68" s="156" t="n"/>
      <c r="K68" s="156" t="n"/>
      <c r="L68" s="156" t="n"/>
    </row>
    <row r="69" ht="15" customHeight="1" s="46">
      <c r="B69" s="217" t="inlineStr">
        <is>
          <t xml:space="preserve">   </t>
        </is>
      </c>
      <c r="C69" s="160" t="inlineStr">
        <is>
          <t>Phase 3</t>
        </is>
      </c>
      <c r="D69" s="161" t="inlineStr">
        <is>
          <t>Lancement</t>
        </is>
      </c>
      <c r="E69" s="156" t="n"/>
      <c r="F69" s="156" t="n"/>
      <c r="G69" s="156" t="n"/>
      <c r="H69" s="156" t="n"/>
      <c r="I69" s="156" t="n"/>
      <c r="J69" s="156" t="n"/>
      <c r="K69" s="156" t="n"/>
      <c r="L69" s="156" t="n"/>
    </row>
    <row r="70" ht="15" customHeight="1" s="46">
      <c r="B70" s="218" t="inlineStr">
        <is>
          <t xml:space="preserve">   </t>
        </is>
      </c>
      <c r="C70" s="160" t="inlineStr">
        <is>
          <t>Phase 4</t>
        </is>
      </c>
      <c r="D70" s="161" t="inlineStr">
        <is>
          <t>Industrialisation</t>
        </is>
      </c>
      <c r="E70" s="156" t="n"/>
      <c r="F70" s="156" t="n"/>
      <c r="G70" s="156" t="n"/>
      <c r="H70" s="156" t="n"/>
      <c r="I70" s="156" t="n"/>
      <c r="J70" s="156" t="n"/>
      <c r="K70" s="156" t="n"/>
      <c r="L70" s="156" t="n"/>
    </row>
    <row r="71" ht="15" customHeight="1" s="46">
      <c r="B71" s="219" t="inlineStr">
        <is>
          <t xml:space="preserve">   </t>
        </is>
      </c>
      <c r="C71" s="160" t="inlineStr">
        <is>
          <t>Phase 5</t>
        </is>
      </c>
      <c r="D71" s="161" t="inlineStr">
        <is>
          <t>Structuration</t>
        </is>
      </c>
      <c r="E71" s="156" t="n"/>
      <c r="F71" s="156" t="n"/>
      <c r="G71" s="156" t="n"/>
      <c r="H71" s="156" t="n"/>
      <c r="I71" s="156" t="n"/>
      <c r="J71" s="156" t="n"/>
      <c r="K71" s="156" t="n"/>
      <c r="L71" s="156" t="n"/>
    </row>
    <row r="72">
      <c r="B72" s="220" t="inlineStr">
        <is>
          <t xml:space="preserve">   </t>
        </is>
      </c>
      <c r="C72" s="160" t="inlineStr">
        <is>
          <t>Phase 6</t>
        </is>
      </c>
      <c r="D72" s="161" t="inlineStr">
        <is>
          <t>Conformité continue</t>
        </is>
      </c>
      <c r="E72" s="156" t="n"/>
      <c r="F72" s="156" t="n"/>
      <c r="G72" s="156" t="n"/>
      <c r="H72" s="156" t="n"/>
      <c r="I72" s="156" t="n"/>
      <c r="J72" s="156" t="n"/>
      <c r="K72" s="156" t="n"/>
      <c r="L72" s="156" t="n"/>
    </row>
    <row r="73" ht="17.25" customHeight="1" s="46">
      <c r="B73" s="156" t="n"/>
      <c r="C73" s="156" t="n"/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56" t="n"/>
    </row>
    <row r="74" ht="15" customHeight="1" s="46"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</row>
    <row r="75" ht="15" customHeight="1" s="46">
      <c r="B75" s="156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</row>
    <row r="76" ht="15" customHeight="1" s="46">
      <c r="B76" s="156" t="n"/>
      <c r="C76" s="156" t="n"/>
      <c r="D76" s="156" t="n"/>
      <c r="E76" s="156" t="n"/>
      <c r="F76" s="156" t="n"/>
      <c r="G76" s="156" t="n"/>
      <c r="H76" s="156" t="n"/>
      <c r="I76" s="156" t="n"/>
      <c r="J76" s="156" t="n"/>
      <c r="K76" s="156" t="n"/>
      <c r="L76" s="156" t="n"/>
    </row>
    <row r="77" ht="15" customHeight="1" s="46">
      <c r="B77" s="156" t="n"/>
      <c r="C77" s="156" t="n"/>
      <c r="D77" s="156" t="n"/>
      <c r="E77" s="156" t="n"/>
      <c r="F77" s="156" t="n"/>
      <c r="G77" s="156" t="n"/>
      <c r="H77" s="156" t="n"/>
      <c r="I77" s="156" t="n"/>
      <c r="J77" s="156" t="n"/>
      <c r="K77" s="156" t="n"/>
      <c r="L77" s="156" t="n"/>
    </row>
    <row r="78" ht="15" customHeight="1" s="46">
      <c r="B78" s="156" t="n"/>
      <c r="C78" s="156" t="n"/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</row>
    <row r="79" ht="15" customHeight="1" s="46">
      <c r="B79" s="156" t="n"/>
      <c r="C79" s="156" t="n"/>
      <c r="D79" s="156" t="n"/>
      <c r="E79" s="156" t="n"/>
      <c r="F79" s="156" t="n"/>
      <c r="G79" s="156" t="n"/>
      <c r="H79" s="156" t="n"/>
      <c r="I79" s="156" t="n"/>
      <c r="J79" s="156" t="n"/>
      <c r="K79" s="156" t="n"/>
      <c r="L79" s="156" t="n"/>
    </row>
    <row r="80" ht="15" customHeight="1" s="46">
      <c r="B80" s="2" t="inlineStr">
        <is>
          <t xml:space="preserve">   Cybersecurite      : Sauvegardes, antivirus, MFA (obligation de moyens)</t>
        </is>
      </c>
    </row>
    <row r="81" ht="15" customHeight="1" s="46">
      <c r="B81" s="2" t="inlineStr">
        <is>
          <t xml:space="preserve">   Facturation élec.   : 01/09/2026 réception obligatoire (toutes entreprises) ; 01/09/2026 émission GE/ETI ; 01/09/2027 émission PME/micro</t>
        </is>
      </c>
    </row>
    <row r="82" ht="15" customHeight="1" s="46">
      <c r="B82" s="2" t="inlineStr">
        <is>
          <t xml:space="preserve">   Assurance RCP      : Obligatoire pour exercer</t>
        </is>
      </c>
    </row>
    <row r="83" ht="28" customHeight="1" s="46">
      <c r="B83" s="85" t="inlineStr">
        <is>
          <t xml:space="preserve">   AI Act (UE 2024/1689): AI literacy applicable 02/02/2025 ; applicabilité générale 02/08/2026 (selon calendrier UE)</t>
        </is>
      </c>
    </row>
    <row r="84" ht="15" customHeight="1" s="46">
      <c r="B84" s="50" t="inlineStr">
        <is>
          <t>CONCLUSION</t>
        </is>
      </c>
    </row>
    <row r="85" ht="15" customHeight="1" s="46">
      <c r="B85" t="inlineStr">
        <is>
          <t>Le diagramme de Gantt n'est pas un planning fige mais un OUTIL DE PILOTAGE STRATEGIQUE,</t>
        </is>
      </c>
    </row>
    <row r="86" ht="15" customHeight="1" s="46">
      <c r="B86" t="inlineStr">
        <is>
          <t>permettant d'arbitrer les decisions de creation du cabinet en fonction des periodes</t>
        </is>
      </c>
    </row>
    <row r="87" ht="15" customHeight="1" s="46">
      <c r="B87" t="inlineStr">
        <is>
          <t>et des contraintes financieres, organisationnelles et humaines.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B16:L16"/>
    <mergeCell ref="B3:L3"/>
    <mergeCell ref="B86:L86"/>
    <mergeCell ref="B2:L2"/>
    <mergeCell ref="B38:L38"/>
    <mergeCell ref="B87:L87"/>
    <mergeCell ref="B84:L84"/>
    <mergeCell ref="B5:L5"/>
    <mergeCell ref="B85:L8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9"/>
  <sheetViews>
    <sheetView topLeftCell="A15" zoomScaleNormal="100" workbookViewId="0">
      <selection activeCell="D6" sqref="B6:H36"/>
    </sheetView>
  </sheetViews>
  <sheetFormatPr baseColWidth="10" defaultColWidth="8.6640625" defaultRowHeight="14.4"/>
  <cols>
    <col width="3" customWidth="1" style="46" min="1" max="1"/>
    <col width="30" customWidth="1" style="46" min="2" max="2"/>
    <col width="3" customWidth="1" style="46" min="3" max="3"/>
    <col width="25" customWidth="1" style="46" min="4" max="4"/>
    <col width="5" customWidth="1" style="46" min="5" max="6"/>
    <col width="25" customWidth="1" style="46" min="7" max="7"/>
  </cols>
  <sheetData>
    <row r="2" ht="21.75" customHeight="1" s="46">
      <c r="B2" s="61" t="inlineStr">
        <is>
          <t>MON PROJET DE CREATION DE CABINET</t>
        </is>
      </c>
    </row>
    <row r="3" ht="15" customHeight="1" s="46">
      <c r="B3" s="62" t="inlineStr">
        <is>
          <t>Remplissez TOUTES les cellules JAUNES. Ces donnees pilotent l'ensemble de l'outil.</t>
        </is>
      </c>
    </row>
    <row r="4">
      <c r="B4" s="84" t="inlineStr">
        <is>
          <t>⚠️ Saisie uniquement dans l’onglet '0-Saisie' (cellules jaunes).</t>
        </is>
      </c>
    </row>
    <row r="5" ht="15" customHeight="1" s="46">
      <c r="B5" s="50" t="inlineStr">
        <is>
          <t>1. IDENTITE DU PROJET</t>
        </is>
      </c>
    </row>
    <row r="6" ht="15" customHeight="1" s="46">
      <c r="B6" t="inlineStr">
        <is>
          <t>Nom du porteur de projet</t>
        </is>
      </c>
      <c r="D6" s="86">
        <f>'0-Saisie'!D11</f>
        <v/>
      </c>
    </row>
    <row r="7" ht="15" customHeight="1" s="46">
      <c r="B7" t="inlineStr">
        <is>
          <t>Nom du cabinet</t>
        </is>
      </c>
      <c r="D7" s="86">
        <f>'0-Saisie'!D12</f>
        <v/>
      </c>
    </row>
    <row r="8" ht="15" customHeight="1" s="46">
      <c r="B8" t="inlineStr">
        <is>
          <t>Region d'implantation</t>
        </is>
      </c>
      <c r="D8" s="86">
        <f>'0-Saisie'!D13</f>
        <v/>
      </c>
    </row>
    <row r="10" ht="15" customHeight="1" s="46">
      <c r="B10" s="57" t="inlineStr">
        <is>
          <t>2. TYPE DE CREATION</t>
        </is>
      </c>
    </row>
    <row r="11" ht="15" customHeight="1" s="46">
      <c r="B11" t="inlineStr">
        <is>
          <t>Type de creation</t>
        </is>
      </c>
      <c r="D11" s="86">
        <f>'0-Saisie'!D14</f>
        <v/>
      </c>
      <c r="G11" s="11" t="inlineStr">
        <is>
          <t>Impact: duree projet</t>
        </is>
      </c>
    </row>
    <row r="12" ht="15" customHeight="1" s="46">
      <c r="B12" t="inlineStr">
        <is>
          <t>Forme juridique</t>
        </is>
      </c>
      <c r="D12" s="86">
        <f>'0-Saisie'!D15</f>
        <v/>
      </c>
    </row>
    <row r="13" ht="15" customHeight="1" s="46">
      <c r="B13" t="inlineStr">
        <is>
          <t>Capital social prevu</t>
        </is>
      </c>
      <c r="D13" s="86">
        <f>'0-Saisie'!D16</f>
        <v/>
      </c>
    </row>
    <row r="15" ht="15" customHeight="1" s="46">
      <c r="B15" s="58" t="inlineStr">
        <is>
          <t>3. CALENDRIER</t>
        </is>
      </c>
    </row>
    <row r="16" ht="15" customHeight="1" s="46">
      <c r="B16" t="inlineStr">
        <is>
          <t>Date creation societe (M0)</t>
        </is>
      </c>
      <c r="D16" s="86">
        <f>'0-Saisie'!D17</f>
        <v/>
      </c>
    </row>
    <row r="17" ht="15" customHeight="1" s="46">
      <c r="B17" t="inlineStr">
        <is>
          <t>Date debut reflexion (M-6)</t>
        </is>
      </c>
      <c r="D17" s="86">
        <f>'0-Saisie'!D18</f>
        <v/>
      </c>
    </row>
    <row r="18" ht="15" customHeight="1" s="46">
      <c r="B18" t="inlineStr">
        <is>
          <t>Date cible 1er client</t>
        </is>
      </c>
      <c r="D18" s="86">
        <f>'0-Saisie'!D19</f>
        <v/>
      </c>
    </row>
    <row r="20" ht="15" customHeight="1" s="46">
      <c r="B20" s="59" t="inlineStr">
        <is>
          <t>4. AMBITION NUMERIQUE</t>
        </is>
      </c>
    </row>
    <row r="21" ht="15" customHeight="1" s="46">
      <c r="B21" t="inlineStr">
        <is>
          <t>Niveau numerique cible</t>
        </is>
      </c>
      <c r="D21" s="86">
        <f>'0-Saisie'!D20</f>
        <v/>
      </c>
      <c r="G21" s="11" t="inlineStr">
        <is>
          <t>Impact: duree Phase SI</t>
        </is>
      </c>
    </row>
    <row r="22" ht="15" customHeight="1" s="46">
      <c r="B22" t="inlineStr">
        <is>
          <t>Votre experience outils</t>
        </is>
      </c>
      <c r="D22" s="86">
        <f>'0-Saisie'!D21</f>
        <v/>
      </c>
      <c r="G22" s="11" t="inlineStr">
        <is>
          <t>Impact: toutes durees</t>
        </is>
      </c>
    </row>
    <row r="23" ht="15" customHeight="1" s="46">
      <c r="B23" t="inlineStr">
        <is>
          <t>Logiciel comptable cible</t>
        </is>
      </c>
      <c r="D23" s="86">
        <f>'0-Saisie'!D22</f>
        <v/>
      </c>
    </row>
    <row r="25" ht="15" customHeight="1" s="46">
      <c r="B25" s="60" t="inlineStr">
        <is>
          <t>5. RESSOURCES HUMAINES</t>
        </is>
      </c>
    </row>
    <row r="26" ht="15" customHeight="1" s="46">
      <c r="B26" t="inlineStr">
        <is>
          <t>Objectif collaborateurs 12 mois</t>
        </is>
      </c>
      <c r="D26" s="86">
        <f>'0-Saisie'!D26</f>
        <v/>
      </c>
      <c r="G26" s="11" t="inlineStr">
        <is>
          <t>0 = Mode solo</t>
        </is>
      </c>
    </row>
    <row r="27" ht="15" customHeight="1" s="46">
      <c r="B27" t="inlineStr">
        <is>
          <t>Mois demarrage recrutement</t>
        </is>
      </c>
      <c r="D27" s="86">
        <f>'0-Saisie'!D27</f>
        <v/>
      </c>
      <c r="G27" s="11" t="inlineStr">
        <is>
          <t>Ex: 6 = M+6</t>
        </is>
      </c>
    </row>
    <row r="28" ht="15" customHeight="1" s="46">
      <c r="B28" t="inlineStr">
        <is>
          <t>Profil recherche</t>
        </is>
      </c>
      <c r="D28" s="86">
        <f>'0-Saisie'!D28</f>
        <v/>
      </c>
    </row>
    <row r="29">
      <c r="B29" s="87" t="inlineStr">
        <is>
          <t>Budget Recrutement (Marque Employeur)</t>
        </is>
      </c>
      <c r="C29" s="87" t="n"/>
      <c r="D29" s="86">
        <f>'0-Saisie'!D29</f>
        <v/>
      </c>
      <c r="E29" s="87" t="inlineStr">
        <is>
          <t>EUR</t>
        </is>
      </c>
      <c r="F29" s="87" t="n"/>
      <c r="G29" s="87" t="inlineStr">
        <is>
          <t>Prévoir LinkedIn / jobboards</t>
        </is>
      </c>
    </row>
    <row r="30" ht="15" customHeight="1" s="46">
      <c r="B30" s="56" t="inlineStr">
        <is>
          <t>6. OBJECTIFS COMMERCIAUX</t>
        </is>
      </c>
    </row>
    <row r="31" ht="15" customHeight="1" s="46">
      <c r="B31" t="inlineStr">
        <is>
          <t>Objectif clients M+3</t>
        </is>
      </c>
      <c r="D31" s="86">
        <f>'0-Saisie'!D30</f>
        <v/>
      </c>
    </row>
    <row r="32" ht="15" customHeight="1" s="46">
      <c r="B32" t="inlineStr">
        <is>
          <t>Objectif clients M+6</t>
        </is>
      </c>
      <c r="D32" s="86">
        <f>'0-Saisie'!D31</f>
        <v/>
      </c>
    </row>
    <row r="33" ht="15" customHeight="1" s="46">
      <c r="B33" t="inlineStr">
        <is>
          <t>Objectif clients M+12</t>
        </is>
      </c>
      <c r="D33" s="86">
        <f>'0-Saisie'!D32</f>
        <v/>
      </c>
    </row>
    <row r="34" ht="15" customHeight="1" s="46">
      <c r="B34" t="inlineStr">
        <is>
          <t>Honoraire moyen cible (EUR/an)</t>
        </is>
      </c>
      <c r="D34" s="86">
        <f>'0-Saisie'!D33</f>
        <v/>
      </c>
    </row>
    <row r="35" ht="15" customHeight="1" s="46">
      <c r="B35" t="inlineStr">
        <is>
          <t>Specialisation</t>
        </is>
      </c>
      <c r="D35" s="86">
        <f>'0-Saisie'!D34</f>
        <v/>
      </c>
    </row>
    <row r="37" ht="15" customHeight="1" s="46">
      <c r="B37" s="50" t="inlineStr">
        <is>
          <t>7. BUDGET &amp; FINANCEMENT</t>
        </is>
      </c>
    </row>
    <row r="38" ht="15" customHeight="1" s="46">
      <c r="B38" t="inlineStr">
        <is>
          <t>Apport personnel</t>
        </is>
      </c>
      <c r="D38" s="86">
        <f>'0-Saisie'!D38</f>
        <v/>
      </c>
    </row>
    <row r="39" ht="15" customHeight="1" s="46">
      <c r="B39" t="inlineStr">
        <is>
          <t>Emprunt prevu</t>
        </is>
      </c>
      <c r="D39" s="86">
        <f>'0-Saisie'!D39</f>
        <v/>
      </c>
    </row>
    <row r="40" ht="15" customHeight="1" s="46">
      <c r="B40" t="inlineStr">
        <is>
          <t>Charges fixes mensuelles</t>
        </is>
      </c>
      <c r="D40" s="86">
        <f>'0-Saisie'!D40</f>
        <v/>
      </c>
      <c r="G40" s="11" t="inlineStr">
        <is>
          <t>Loyer, assurances, outils...</t>
        </is>
      </c>
    </row>
    <row r="41" ht="15" customHeight="1" s="46">
      <c r="B41" t="inlineStr">
        <is>
          <t>Tresorerie securite (mois)</t>
        </is>
      </c>
      <c r="D41" s="86">
        <f>'0-Saisie'!D41</f>
        <v/>
      </c>
      <c r="G41" s="11" t="inlineStr">
        <is>
          <t>Minimum recommande: 6 mois</t>
        </is>
      </c>
    </row>
    <row r="42">
      <c r="B42" t="inlineStr">
        <is>
          <t>Coût réel collaborateur DCG/an (minima 2026)</t>
        </is>
      </c>
      <c r="D42" s="88">
        <f>ROUND(26548*1.45,0)</f>
        <v/>
      </c>
      <c r="E42" t="inlineStr">
        <is>
          <t>EUR</t>
        </is>
      </c>
      <c r="F42" t="inlineStr">
        <is>
          <t>Accord n°48 (15/12/2025) : +2,9% → Salaire min. 26 548 €</t>
        </is>
      </c>
      <c r="G42" t="inlineStr">
        <is>
          <t>À intégrer dans trésorerie de sécurité</t>
        </is>
      </c>
      <c r="H42" s="187" t="inlineStr">
        <is>
          <t>Source: Accord n°48 IDCC 787 (15/12/2025), +2,9%</t>
        </is>
      </c>
    </row>
    <row r="43" ht="15" customHeight="1" s="46">
      <c r="B43" s="56" t="inlineStr">
        <is>
          <t>8. PARAMETRES CALCULES (automatique)</t>
        </is>
      </c>
    </row>
    <row r="44" ht="15" customHeight="1" s="46">
      <c r="B44" t="inlineStr">
        <is>
          <t>Coef. duree (type creation)</t>
        </is>
      </c>
      <c r="D44" s="15">
        <f>IF(D11="Creation ex-nihilo",1,IF(D11="Reprise cabinet",0.7,0.85))</f>
        <v/>
      </c>
      <c r="G44" s="11" t="inlineStr">
        <is>
          <t>ex-nihilo=1 / reprise=0.7</t>
        </is>
      </c>
    </row>
    <row r="45" ht="15" customHeight="1" s="46">
      <c r="B45" t="inlineStr">
        <is>
          <t>Coef. duree (experience)</t>
        </is>
      </c>
      <c r="D45" s="15">
        <f>IF(D22="Debutant",1.3,IF(D22="Intermediaire",1.15,IF(D22="Confirme",1,0.9)))</f>
        <v/>
      </c>
      <c r="G45" s="11" t="inlineStr">
        <is>
          <t>debutant=1.3 / expert=0.9</t>
        </is>
      </c>
    </row>
    <row r="46" ht="15" customHeight="1" s="46">
      <c r="B46" t="inlineStr">
        <is>
          <t>Coef. SI (niveau numerique)</t>
        </is>
      </c>
      <c r="D46" s="15">
        <f>IF(D21="Basique",0.7,IF(D21="Intermediaire",1,1.3))</f>
        <v/>
      </c>
      <c r="G46" s="11" t="inlineStr">
        <is>
          <t>basique=0.7 / avance=1.3</t>
        </is>
      </c>
    </row>
    <row r="47" ht="15" customHeight="1" s="46">
      <c r="B47" t="inlineStr">
        <is>
          <t>Phase RH active</t>
        </is>
      </c>
      <c r="D47" s="16">
        <f>IF(D26=0,"NON","OUI")</f>
        <v/>
      </c>
    </row>
    <row r="48" ht="15" customHeight="1" s="46">
      <c r="B48" t="inlineStr">
        <is>
          <t>Budget total disponible</t>
        </is>
      </c>
      <c r="D48" s="16">
        <f>D38+D39</f>
        <v/>
      </c>
    </row>
    <row r="49" ht="15" customHeight="1" s="46">
      <c r="B49" t="inlineStr">
        <is>
          <t>Tresorerie securite cible</t>
        </is>
      </c>
      <c r="D49" s="16">
        <f>D40*D41</f>
        <v/>
      </c>
    </row>
    <row r="50" ht="15" customHeight="1" s="46">
      <c r="B50" t="inlineStr">
        <is>
          <t>CA cible Annee 1</t>
        </is>
      </c>
      <c r="D50" s="16">
        <f>D33*D34</f>
        <v/>
      </c>
    </row>
    <row r="51" ht="17.25" customHeight="1" s="46">
      <c r="B51" t="inlineStr">
        <is>
          <t>Duree totale projet (mois)</t>
        </is>
      </c>
      <c r="D51" s="17">
        <f>ROUND(18*D44*D45,0)</f>
        <v/>
      </c>
    </row>
    <row r="53">
      <c r="B53" s="77" t="inlineStr">
        <is>
          <t>9. RÉFÉRENTIEL SALARIAL 2026 (IDCC 787)</t>
        </is>
      </c>
    </row>
    <row r="54">
      <c r="B54" s="78" t="inlineStr">
        <is>
          <t>Poste</t>
        </is>
      </c>
      <c r="C54" s="103" t="n"/>
      <c r="D54" s="78" t="inlineStr">
        <is>
          <t>Brut annuel</t>
        </is>
      </c>
      <c r="E54" s="103" t="n"/>
      <c r="F54" s="78" t="inlineStr">
        <is>
          <t>Coût chargé (x1,45)</t>
        </is>
      </c>
      <c r="G54" s="104" t="n"/>
      <c r="H54" s="103" t="n"/>
    </row>
    <row r="55">
      <c r="B55" s="89" t="inlineStr">
        <is>
          <t>Assistant comptable (Bac)</t>
        </is>
      </c>
      <c r="C55" s="103" t="n"/>
      <c r="D55" s="90" t="n">
        <v>21567</v>
      </c>
      <c r="E55" s="103" t="n"/>
      <c r="F55" s="90">
        <f>ROUND(D55*1.45,0)</f>
        <v/>
      </c>
      <c r="G55" s="104" t="n"/>
      <c r="H55" s="103" t="n"/>
    </row>
    <row r="56">
      <c r="B56" s="89" t="inlineStr">
        <is>
          <t>Collaborateur DCG (niveau 4)</t>
        </is>
      </c>
      <c r="C56" s="103" t="n"/>
      <c r="D56" s="90" t="n">
        <v>26548</v>
      </c>
      <c r="E56" s="103" t="n"/>
      <c r="F56" s="90">
        <f>ROUND(D56*1.45,0)</f>
        <v/>
      </c>
      <c r="G56" s="104" t="n"/>
      <c r="H56" s="103" t="n"/>
    </row>
    <row r="57">
      <c r="B57" s="89" t="inlineStr">
        <is>
          <t>Chef de mission (niveau 3)</t>
        </is>
      </c>
      <c r="C57" s="103" t="n"/>
      <c r="D57" s="90" t="n">
        <v>38221</v>
      </c>
      <c r="E57" s="103" t="n"/>
      <c r="F57" s="90">
        <f>ROUND(D57*1.45,0)</f>
        <v/>
      </c>
      <c r="G57" s="104" t="n"/>
      <c r="H57" s="103" t="n"/>
    </row>
    <row r="58">
      <c r="B58" s="89" t="inlineStr">
        <is>
          <t>EC inscrit (indice 40)</t>
        </is>
      </c>
      <c r="C58" s="103" t="n"/>
      <c r="D58" s="90" t="n">
        <v>47801</v>
      </c>
      <c r="E58" s="103" t="n"/>
      <c r="F58" s="90">
        <f>ROUND(D58*1.45,0)</f>
        <v/>
      </c>
      <c r="G58" s="104" t="n"/>
      <c r="H58" s="103" t="n"/>
    </row>
    <row r="59">
      <c r="B59" s="91" t="inlineStr">
        <is>
          <t>Source : Compta-Online (janvier 2026) — minima conventionnels cabinets d’EC et de CAC.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0">
    <mergeCell ref="B54:C54"/>
    <mergeCell ref="B30:H30"/>
    <mergeCell ref="B15:H15"/>
    <mergeCell ref="D7:F7"/>
    <mergeCell ref="B56:C56"/>
    <mergeCell ref="B5:H5"/>
    <mergeCell ref="B20:H20"/>
    <mergeCell ref="B58:C58"/>
    <mergeCell ref="B4:H4"/>
    <mergeCell ref="D57:E57"/>
    <mergeCell ref="F56:H56"/>
    <mergeCell ref="F58:H58"/>
    <mergeCell ref="B25:H25"/>
    <mergeCell ref="B3:H3"/>
    <mergeCell ref="B57:C57"/>
    <mergeCell ref="B59:H59"/>
    <mergeCell ref="B43:H43"/>
    <mergeCell ref="F57:H57"/>
    <mergeCell ref="B2:H2"/>
    <mergeCell ref="D56:E56"/>
    <mergeCell ref="D58:E58"/>
    <mergeCell ref="B55:C55"/>
    <mergeCell ref="F54:H54"/>
    <mergeCell ref="D55:E55"/>
    <mergeCell ref="B53:H53"/>
    <mergeCell ref="B10:H10"/>
    <mergeCell ref="D54:E54"/>
    <mergeCell ref="D6:F6"/>
    <mergeCell ref="B37:H37"/>
    <mergeCell ref="F55:H55"/>
  </mergeCells>
  <dataValidations count="9">
    <dataValidation sqref="D8" showDropDown="0" showInputMessage="0" showErrorMessage="0" allowBlank="0" type="list">
      <formula1>"Ile-de-France,Auvergne-Rhone-Alpes,PACA,Occitanie,Hauts-de-France,Grand Est,Autres"</formula1>
      <formula2>0</formula2>
    </dataValidation>
    <dataValidation sqref="D11" showDropDown="0" showInputMessage="0" showErrorMessage="0" allowBlank="0" type="list">
      <formula1>"Creation ex-nihilo,Reprise cabinet,Association confrere"</formula1>
      <formula2>0</formula2>
    </dataValidation>
    <dataValidation sqref="D12" showDropDown="0" showInputMessage="0" showErrorMessage="0" allowBlank="0" type="list">
      <formula1>"SASU,SAS,EURL,SARL,SELARL"</formula1>
      <formula2>0</formula2>
    </dataValidation>
    <dataValidation sqref="D21" showDropDown="0" showInputMessage="0" showErrorMessage="0" allowBlank="0" type="list">
      <formula1>"Basique,Intermediaire,Avance (100% numerique)"</formula1>
      <formula2>0</formula2>
    </dataValidation>
    <dataValidation sqref="D22" showDropDown="0" showInputMessage="0" showErrorMessage="0" allowBlank="0" type="list">
      <formula1>"Debutant,Intermediaire,Confirme,Expert"</formula1>
      <formula2>0</formula2>
    </dataValidation>
    <dataValidation sqref="D23" showDropDown="0" showInputMessage="0" showErrorMessage="0" allowBlank="0" type="list">
      <formula1>"Pennylane,Dext + Sage,Tiime,MyUnisoft,Cegid Loop,Autres"</formula1>
      <formula2>0</formula2>
    </dataValidation>
    <dataValidation sqref="D26" showDropDown="0" showInputMessage="0" showErrorMessage="0" allowBlank="0" type="list">
      <formula1>"0,1,2,3"</formula1>
      <formula2>0</formula2>
    </dataValidation>
    <dataValidation sqref="D28" showDropDown="0" showInputMessage="0" showErrorMessage="0" allowBlank="0" type="list">
      <formula1>"Collaborateur junior,Collaborateur confirme,Assistant administratif,Alternant"</formula1>
      <formula2>0</formula2>
    </dataValidation>
    <dataValidation sqref="D35" showDropDown="0" showInputMessage="0" showErrorMessage="0" allowBlank="0" type="list">
      <formula1>"Generaliste,Startups / TPE innovantes,Professions liberales,Commercants / Artisans,Associations"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zoomScaleNormal="100" workbookViewId="0">
      <selection activeCell="B43" sqref="B43"/>
    </sheetView>
  </sheetViews>
  <sheetFormatPr baseColWidth="10" defaultColWidth="8.6640625" defaultRowHeight="14.4"/>
  <cols>
    <col width="20" customWidth="1" style="46" min="1" max="1"/>
    <col width="12" customWidth="1" style="46" min="2" max="2"/>
    <col width="12" customWidth="1" style="46" min="3" max="11"/>
    <col width="12" customWidth="1" style="46" min="4" max="4"/>
    <col width="12" customWidth="1" style="46" min="5" max="5"/>
    <col width="12" customWidth="1" style="46" min="6" max="6"/>
    <col width="12" customWidth="1" style="46" min="7" max="7"/>
    <col width="12" customWidth="1" style="46" min="8" max="8"/>
    <col width="12" customWidth="1" style="46" min="9" max="9"/>
    <col width="12" customWidth="1" style="46" min="10" max="10"/>
    <col width="12" customWidth="1" style="46" min="11" max="11"/>
  </cols>
  <sheetData>
    <row r="1" ht="19.5" customHeight="1" s="46">
      <c r="A1" s="138" t="inlineStr">
        <is>
          <t>PÉRIODES DE DÉCISION — Jalons et Conditions de Passage</t>
        </is>
      </c>
    </row>
    <row r="2" ht="15" customHeight="1" s="46">
      <c r="A2" s="139" t="inlineStr">
        <is>
          <t>Chaque période a ses objectifs et ses conditions de passage. Le non-respect d'une condition bloque le passage à la période suivante.</t>
        </is>
      </c>
    </row>
    <row r="4" ht="17.25" customHeight="1" s="46">
      <c r="A4" s="140" t="inlineStr">
        <is>
          <t>🔵 PÉRIODE 1 : AVANT M0 — Préparation</t>
        </is>
      </c>
    </row>
    <row r="5" ht="15" customHeight="1" s="46">
      <c r="A5" s="142" t="inlineStr">
        <is>
          <t>Statut</t>
        </is>
      </c>
      <c r="B5" s="143">
        <f>IF(COUNTIF('0-Saisie'!D46:D50,"Terminé")=5,"✅ GO","⏳ EN COURS")</f>
        <v/>
      </c>
      <c r="C5" s="177" t="n"/>
      <c r="D5" s="177" t="n"/>
      <c r="E5" s="177" t="n"/>
      <c r="F5" s="177" t="n"/>
      <c r="G5" s="177" t="n"/>
      <c r="H5" s="177" t="n"/>
      <c r="I5" s="177" t="n"/>
      <c r="J5" s="177" t="n"/>
      <c r="K5" s="178" t="n"/>
    </row>
    <row r="6" ht="15" customHeight="1" s="46">
      <c r="A6" s="142" t="inlineStr">
        <is>
          <t>Objectif principal</t>
        </is>
      </c>
      <c r="B6" s="144" t="inlineStr">
        <is>
          <t>Valider la faisabilité du projet et préparer tous les pré-requis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8" t="n"/>
    </row>
    <row r="7" ht="15" customHeight="1" s="46">
      <c r="A7" s="142" t="inlineStr">
        <is>
          <t>CA cible</t>
        </is>
      </c>
      <c r="B7" s="144" t="inlineStr">
        <is>
          <t>0 € (pas d'activité)</t>
        </is>
      </c>
      <c r="C7" s="177" t="n"/>
      <c r="D7" s="177" t="n"/>
      <c r="E7" s="177" t="n"/>
      <c r="F7" s="177" t="n"/>
      <c r="G7" s="177" t="n"/>
      <c r="H7" s="177" t="n"/>
      <c r="I7" s="177" t="n"/>
      <c r="J7" s="177" t="n"/>
      <c r="K7" s="178" t="n"/>
    </row>
    <row r="8" ht="15" customHeight="1" s="46">
      <c r="A8" s="142" t="inlineStr">
        <is>
          <t>Trésorerie mini</t>
        </is>
      </c>
      <c r="B8" s="145">
        <f>'2-Mon Projet'!D49&amp;" € ("&amp;'2-Mon Projet'!D41&amp;" mois de charges)"</f>
        <v/>
      </c>
      <c r="C8" s="177" t="n"/>
      <c r="D8" s="177" t="n"/>
      <c r="E8" s="177" t="n"/>
      <c r="F8" s="177" t="n"/>
      <c r="G8" s="177" t="n"/>
      <c r="H8" s="177" t="n"/>
      <c r="I8" s="177" t="n"/>
      <c r="J8" s="177" t="n"/>
      <c r="K8" s="178" t="n"/>
    </row>
    <row r="9" ht="15" customHeight="1" s="46">
      <c r="A9" s="142" t="inlineStr">
        <is>
          <t>Charge dominante</t>
        </is>
      </c>
      <c r="B9" s="144" t="inlineStr">
        <is>
          <t>Réflexion stratégique (80%) + Administratif (20%)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8" t="n"/>
    </row>
    <row r="10" ht="15" customHeight="1" s="46">
      <c r="A10" s="142" t="inlineStr">
        <is>
          <t>Décision RH</t>
        </is>
      </c>
      <c r="B10" s="146" t="inlineStr">
        <is>
          <t>❌ INTERDIT — Aucun recrutement avant l'inscription à l'Ordre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8" t="n"/>
    </row>
    <row r="11" ht="15" customHeight="1" s="46">
      <c r="A11" s="142" t="inlineStr">
        <is>
          <t>Risque majeur</t>
        </is>
      </c>
      <c r="B11" s="144" t="inlineStr">
        <is>
          <t>Sous-estimation des délais administratifs (Ordre = 6 semaines)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8" t="n"/>
    </row>
    <row r="12" ht="15" customHeight="1" s="46">
      <c r="A12" s="142" t="inlineStr">
        <is>
          <t>Erreur à éviter</t>
        </is>
      </c>
      <c r="B12" s="144" t="inlineStr">
        <is>
          <t>Commander les outils avant validation de l'architecture SI</t>
        </is>
      </c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8" t="n"/>
    </row>
    <row r="13" ht="15" customHeight="1" s="46">
      <c r="A13" s="142" t="inlineStr">
        <is>
          <t>Action prioritaire</t>
        </is>
      </c>
      <c r="B13" s="144" t="inlineStr">
        <is>
          <t>Valider architecture SI + Déposer dossier Ordre</t>
        </is>
      </c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8" t="n"/>
    </row>
    <row r="14" ht="15" customHeight="1" s="46">
      <c r="A14" s="142" t="inlineStr">
        <is>
          <t>Condition passage M0</t>
        </is>
      </c>
      <c r="B14" s="147" t="inlineStr">
        <is>
          <t>Inscription Ordre OBTENUE + Assurance RCP active + RGPD OK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7" t="n"/>
      <c r="K14" s="178" t="n"/>
    </row>
    <row r="16" ht="17.25" customHeight="1" s="46">
      <c r="A16" s="148" t="inlineStr">
        <is>
          <t>🟢 PÉRIODE 2 : M0 → M+3 — Lancement</t>
        </is>
      </c>
    </row>
    <row r="17" ht="15" customHeight="1" s="46">
      <c r="A17" s="142" t="inlineStr">
        <is>
          <t>Statut</t>
        </is>
      </c>
      <c r="B17" s="143">
        <f>IF('0-Saisie'!D60="Terminé","✅ GO","⏳ EN COURS")</f>
        <v/>
      </c>
      <c r="C17" s="177" t="n"/>
      <c r="D17" s="177" t="n"/>
      <c r="E17" s="177" t="n"/>
      <c r="F17" s="177" t="n"/>
      <c r="G17" s="177" t="n"/>
      <c r="H17" s="177" t="n"/>
      <c r="I17" s="177" t="n"/>
      <c r="J17" s="177" t="n"/>
      <c r="K17" s="178" t="n"/>
    </row>
    <row r="18" ht="15" customHeight="1" s="46">
      <c r="A18" s="142" t="inlineStr">
        <is>
          <t>Objectif principal</t>
        </is>
      </c>
      <c r="B18" s="145">
        <f>'2-Mon Projet'!D31&amp;" premiers clients + process onboarding stabilisé"</f>
        <v/>
      </c>
      <c r="C18" s="177" t="n"/>
      <c r="D18" s="177" t="n"/>
      <c r="E18" s="177" t="n"/>
      <c r="F18" s="177" t="n"/>
      <c r="G18" s="177" t="n"/>
      <c r="H18" s="177" t="n"/>
      <c r="I18" s="177" t="n"/>
      <c r="J18" s="177" t="n"/>
      <c r="K18" s="178" t="n"/>
    </row>
    <row r="19" ht="15" customHeight="1" s="46">
      <c r="A19" s="142" t="inlineStr">
        <is>
          <t>CA cible mensuel</t>
        </is>
      </c>
      <c r="B19" s="144" t="inlineStr">
        <is>
          <t>Faible / instable (construction portefeuille)</t>
        </is>
      </c>
      <c r="C19" s="177" t="n"/>
      <c r="D19" s="177" t="n"/>
      <c r="E19" s="177" t="n"/>
      <c r="F19" s="177" t="n"/>
      <c r="G19" s="177" t="n"/>
      <c r="H19" s="177" t="n"/>
      <c r="I19" s="177" t="n"/>
      <c r="J19" s="177" t="n"/>
      <c r="K19" s="178" t="n"/>
    </row>
    <row r="20" ht="15" customHeight="1" s="46">
      <c r="A20" s="142" t="inlineStr">
        <is>
          <t>Trésorerie mini</t>
        </is>
      </c>
      <c r="B20" s="144" t="inlineStr">
        <is>
          <t>≥ 3 mois de charges fixes</t>
        </is>
      </c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8" t="n"/>
    </row>
    <row r="21" ht="15" customHeight="1" s="46">
      <c r="A21" s="142" t="inlineStr">
        <is>
          <t>Charge dominante</t>
        </is>
      </c>
      <c r="B21" s="144" t="inlineStr">
        <is>
          <t>Production (40%) + Commercial (40%) + Onboarding (20%)</t>
        </is>
      </c>
      <c r="C21" s="177" t="n"/>
      <c r="D21" s="177" t="n"/>
      <c r="E21" s="177" t="n"/>
      <c r="F21" s="177" t="n"/>
      <c r="G21" s="177" t="n"/>
      <c r="H21" s="177" t="n"/>
      <c r="I21" s="177" t="n"/>
      <c r="J21" s="177" t="n"/>
      <c r="K21" s="178" t="n"/>
    </row>
    <row r="22" ht="15" customHeight="1" s="46">
      <c r="A22" s="142" t="inlineStr">
        <is>
          <t>Décision RH</t>
        </is>
      </c>
      <c r="B22" s="146" t="inlineStr">
        <is>
          <t>❌ INTERDIT — Recruter = absorber le stress au détriment de la qualité</t>
        </is>
      </c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8" t="n"/>
    </row>
    <row r="23" ht="15" customHeight="1" s="46">
      <c r="A23" s="142" t="inlineStr">
        <is>
          <t>Risque majeur</t>
        </is>
      </c>
      <c r="B23" s="144" t="inlineStr">
        <is>
          <t>Surcharge dirigeant → qualité dégradée</t>
        </is>
      </c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8" t="n"/>
    </row>
    <row r="24" ht="15" customHeight="1" s="46">
      <c r="A24" s="142" t="inlineStr">
        <is>
          <t>Erreur à éviter</t>
        </is>
      </c>
      <c r="B24" s="144" t="inlineStr">
        <is>
          <t>Recruter trop tôt / Accepter n'importe quel client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7" t="n"/>
      <c r="K24" s="178" t="n"/>
    </row>
    <row r="25" ht="15" customHeight="1" s="46">
      <c r="A25" s="142" t="inlineStr">
        <is>
          <t>Action prioritaire</t>
        </is>
      </c>
      <c r="B25" s="144" t="inlineStr">
        <is>
          <t>Standardiser process onboarding + qualifier les prospects</t>
        </is>
      </c>
      <c r="C25" s="177" t="n"/>
      <c r="D25" s="177" t="n"/>
      <c r="E25" s="177" t="n"/>
      <c r="F25" s="177" t="n"/>
      <c r="G25" s="177" t="n"/>
      <c r="H25" s="177" t="n"/>
      <c r="I25" s="177" t="n"/>
      <c r="J25" s="177" t="n"/>
      <c r="K25" s="178" t="n"/>
    </row>
    <row r="26" ht="15" customHeight="1" s="46">
      <c r="A26" s="142" t="inlineStr">
        <is>
          <t>Condition passage M+3</t>
        </is>
      </c>
      <c r="B26" s="147" t="inlineStr">
        <is>
          <t>Clients signés + Trésorerie OK + Process onboarding opérationnel + PA connectée</t>
        </is>
      </c>
      <c r="C26" s="177" t="n"/>
      <c r="D26" s="177" t="n"/>
      <c r="E26" s="177" t="n"/>
      <c r="F26" s="177" t="n"/>
      <c r="G26" s="177" t="n"/>
      <c r="H26" s="177" t="n"/>
      <c r="I26" s="177" t="n"/>
      <c r="J26" s="177" t="n"/>
      <c r="K26" s="178" t="n"/>
    </row>
    <row r="28" ht="17.25" customHeight="1" s="46">
      <c r="A28" s="150" t="inlineStr">
        <is>
          <t>🟠 PÉRIODE 3 : M+3 → M+6 — Industrialisation</t>
        </is>
      </c>
    </row>
    <row r="29" ht="15" customHeight="1" s="46">
      <c r="A29" s="142" t="inlineStr">
        <is>
          <t>Statut</t>
        </is>
      </c>
      <c r="B29" s="143">
        <f>IF('2-Mon Projet'!D26=0,"✅ GO (solo)","⏳ À ÉVALUER")</f>
        <v/>
      </c>
      <c r="C29" s="177" t="n"/>
      <c r="D29" s="177" t="n"/>
      <c r="E29" s="177" t="n"/>
      <c r="F29" s="177" t="n"/>
      <c r="G29" s="177" t="n"/>
      <c r="H29" s="177" t="n"/>
      <c r="I29" s="177" t="n"/>
      <c r="J29" s="177" t="n"/>
      <c r="K29" s="178" t="n"/>
    </row>
    <row r="30" ht="15" customHeight="1" s="46">
      <c r="A30" s="142" t="inlineStr">
        <is>
          <t>Objectif principal</t>
        </is>
      </c>
      <c r="B30" s="145">
        <f>'2-Mon Projet'!D32&amp;" clients + industrialisation production"</f>
        <v/>
      </c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8" t="n"/>
    </row>
    <row r="31" ht="15" customHeight="1" s="46">
      <c r="A31" s="142" t="inlineStr">
        <is>
          <t>CA cible mensuel</t>
        </is>
      </c>
      <c r="B31" s="144" t="inlineStr">
        <is>
          <t>Stabilisation (régularité des entrées)</t>
        </is>
      </c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8" t="n"/>
    </row>
    <row r="32" ht="15" customHeight="1" s="46">
      <c r="A32" s="142" t="inlineStr">
        <is>
          <t>Trésorerie mini</t>
        </is>
      </c>
      <c r="B32" s="144" t="inlineStr">
        <is>
          <t>≥ 4 mois de charges fixes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7" t="n"/>
      <c r="K32" s="178" t="n"/>
    </row>
    <row r="33" ht="15" customHeight="1" s="46">
      <c r="A33" s="142" t="inlineStr">
        <is>
          <t>Charge dominante</t>
        </is>
      </c>
      <c r="B33" s="144" t="inlineStr">
        <is>
          <t>Production (60%) + Développement (30%) + Admin (10%)</t>
        </is>
      </c>
      <c r="C33" s="177" t="n"/>
      <c r="D33" s="177" t="n"/>
      <c r="E33" s="177" t="n"/>
      <c r="F33" s="177" t="n"/>
      <c r="G33" s="177" t="n"/>
      <c r="H33" s="177" t="n"/>
      <c r="I33" s="177" t="n"/>
      <c r="J33" s="177" t="n"/>
      <c r="K33" s="178" t="n"/>
    </row>
    <row r="34" ht="15" customHeight="1" s="46">
      <c r="A34" s="142" t="inlineStr">
        <is>
          <t>Décision RH</t>
        </is>
      </c>
      <c r="B34" s="145">
        <f>IF('2-Mon Projet'!D26=0,"Non applicable (solo)","⚠️ Préparer si objectif &gt; 0")</f>
        <v/>
      </c>
      <c r="C34" s="177" t="n"/>
      <c r="D34" s="177" t="n"/>
      <c r="E34" s="177" t="n"/>
      <c r="F34" s="177" t="n"/>
      <c r="G34" s="177" t="n"/>
      <c r="H34" s="177" t="n"/>
      <c r="I34" s="177" t="n"/>
      <c r="J34" s="177" t="n"/>
      <c r="K34" s="178" t="n"/>
    </row>
    <row r="35" ht="15" customHeight="1" s="46">
      <c r="A35" s="142" t="inlineStr">
        <is>
          <t>Risque majeur</t>
        </is>
      </c>
      <c r="B35" s="144" t="inlineStr">
        <is>
          <t>Désorganisation / Qualité si croissance trop rapide</t>
        </is>
      </c>
      <c r="C35" s="177" t="n"/>
      <c r="D35" s="177" t="n"/>
      <c r="E35" s="177" t="n"/>
      <c r="F35" s="177" t="n"/>
      <c r="G35" s="177" t="n"/>
      <c r="H35" s="177" t="n"/>
      <c r="I35" s="177" t="n"/>
      <c r="J35" s="177" t="n"/>
      <c r="K35" s="178" t="n"/>
    </row>
    <row r="36" ht="15" customHeight="1" s="46">
      <c r="A36" s="142" t="inlineStr">
        <is>
          <t>Erreur à éviter</t>
        </is>
      </c>
      <c r="B36" s="144" t="inlineStr">
        <is>
          <t>Changer d'outil en pleine montée en charge</t>
        </is>
      </c>
      <c r="C36" s="177" t="n"/>
      <c r="D36" s="177" t="n"/>
      <c r="E36" s="177" t="n"/>
      <c r="F36" s="177" t="n"/>
      <c r="G36" s="177" t="n"/>
      <c r="H36" s="177" t="n"/>
      <c r="I36" s="177" t="n"/>
      <c r="J36" s="177" t="n"/>
      <c r="K36" s="178" t="n"/>
    </row>
    <row r="37" ht="15" customHeight="1" s="46">
      <c r="A37" s="142" t="inlineStr">
        <is>
          <t>Action prioritaire</t>
        </is>
      </c>
      <c r="B37" s="144" t="inlineStr">
        <is>
          <t>Industrialiser la production (process, templates, contrôles)</t>
        </is>
      </c>
      <c r="C37" s="177" t="n"/>
      <c r="D37" s="177" t="n"/>
      <c r="E37" s="177" t="n"/>
      <c r="F37" s="177" t="n"/>
      <c r="G37" s="177" t="n"/>
      <c r="H37" s="177" t="n"/>
      <c r="I37" s="177" t="n"/>
      <c r="J37" s="177" t="n"/>
      <c r="K37" s="178" t="n"/>
    </row>
    <row r="38" ht="15" customHeight="1" s="46">
      <c r="A38" s="142" t="inlineStr">
        <is>
          <t>Condition passage M+6</t>
        </is>
      </c>
      <c r="B38" s="147" t="inlineStr">
        <is>
          <t>Marge positive + PA (ex-PDP) connectée et opérationnelle + Tests réception factures OK</t>
        </is>
      </c>
      <c r="C38" s="177" t="n"/>
      <c r="D38" s="177" t="n"/>
      <c r="E38" s="177" t="n"/>
      <c r="F38" s="177" t="n"/>
      <c r="G38" s="177" t="n"/>
      <c r="H38" s="177" t="n"/>
      <c r="I38" s="177" t="n"/>
      <c r="J38" s="177" t="n"/>
      <c r="K38" s="178" t="n"/>
    </row>
    <row r="40" ht="17.25" customHeight="1" s="46">
      <c r="A40" s="152" t="inlineStr">
        <is>
          <t>🟣 PÉRIODE 4 : M+6 → M+12 — Structuration</t>
        </is>
      </c>
    </row>
    <row r="41" ht="15" customHeight="1" s="46">
      <c r="A41" s="142" t="inlineStr">
        <is>
          <t>Statut</t>
        </is>
      </c>
      <c r="B41" s="143">
        <f>IF('2-Mon Projet'!D26=0,"✅ Solo pérenne","⏳ À ÉVALUER")</f>
        <v/>
      </c>
      <c r="C41" s="177" t="n"/>
      <c r="D41" s="177" t="n"/>
      <c r="E41" s="177" t="n"/>
      <c r="F41" s="177" t="n"/>
      <c r="G41" s="177" t="n"/>
      <c r="H41" s="177" t="n"/>
      <c r="I41" s="177" t="n"/>
      <c r="J41" s="177" t="n"/>
      <c r="K41" s="178" t="n"/>
    </row>
    <row r="42" ht="15" customHeight="1" s="46">
      <c r="A42" s="142" t="inlineStr">
        <is>
          <t>Objectif principal</t>
        </is>
      </c>
      <c r="B42" s="145">
        <f>'2-Mon Projet'!D33&amp;" clients + structuration (RH si applicable)"</f>
        <v/>
      </c>
      <c r="C42" s="177" t="n"/>
      <c r="D42" s="177" t="n"/>
      <c r="E42" s="177" t="n"/>
      <c r="F42" s="177" t="n"/>
      <c r="G42" s="177" t="n"/>
      <c r="H42" s="177" t="n"/>
      <c r="I42" s="177" t="n"/>
      <c r="J42" s="177" t="n"/>
      <c r="K42" s="178" t="n"/>
    </row>
    <row r="43" ht="15" customHeight="1" s="46">
      <c r="A43" s="142" t="inlineStr">
        <is>
          <t>CA cible mensuel</t>
        </is>
      </c>
      <c r="B43" s="145">
        <f>ROUND('2-Mon Projet'!D50/12,0)&amp;" €/mois"</f>
        <v/>
      </c>
      <c r="C43" s="177" t="n"/>
      <c r="D43" s="177" t="n"/>
      <c r="E43" s="177" t="n"/>
      <c r="F43" s="177" t="n"/>
      <c r="G43" s="177" t="n"/>
      <c r="H43" s="177" t="n"/>
      <c r="I43" s="177" t="n"/>
      <c r="J43" s="177" t="n"/>
      <c r="K43" s="178" t="n"/>
    </row>
    <row r="44" ht="15" customHeight="1" s="46">
      <c r="A44" s="142" t="inlineStr">
        <is>
          <t>Trésorerie mini</t>
        </is>
      </c>
      <c r="B44" s="144" t="inlineStr">
        <is>
          <t>≥ 6 mois de charges (incluant salaire si recrutement)</t>
        </is>
      </c>
      <c r="C44" s="177" t="n"/>
      <c r="D44" s="177" t="n"/>
      <c r="E44" s="177" t="n"/>
      <c r="F44" s="177" t="n"/>
      <c r="G44" s="177" t="n"/>
      <c r="H44" s="177" t="n"/>
      <c r="I44" s="177" t="n"/>
      <c r="J44" s="177" t="n"/>
      <c r="K44" s="178" t="n"/>
    </row>
    <row r="45" ht="15" customHeight="1" s="46">
      <c r="A45" s="142" t="inlineStr">
        <is>
          <t>Charge dominante</t>
        </is>
      </c>
      <c r="B45" s="144" t="inlineStr">
        <is>
          <t>Production (50%) + Management (25%) + Développement (25%)</t>
        </is>
      </c>
      <c r="C45" s="177" t="n"/>
      <c r="D45" s="177" t="n"/>
      <c r="E45" s="177" t="n"/>
      <c r="F45" s="177" t="n"/>
      <c r="G45" s="177" t="n"/>
      <c r="H45" s="177" t="n"/>
      <c r="I45" s="177" t="n"/>
      <c r="J45" s="177" t="n"/>
      <c r="K45" s="178" t="n"/>
    </row>
    <row r="46" ht="15" customHeight="1" s="46">
      <c r="A46" s="142" t="inlineStr">
        <is>
          <t>Décision RH</t>
        </is>
      </c>
      <c r="B46" s="145">
        <f>IF('2-Mon Projet'!D26=0,"Non applicable","✅ GO recrutement M+"&amp;'2-Mon Projet'!D27)</f>
        <v/>
      </c>
      <c r="C46" s="177" t="n"/>
      <c r="D46" s="177" t="n"/>
      <c r="E46" s="177" t="n"/>
      <c r="F46" s="177" t="n"/>
      <c r="G46" s="177" t="n"/>
      <c r="H46" s="177" t="n"/>
      <c r="I46" s="177" t="n"/>
      <c r="J46" s="177" t="n"/>
      <c r="K46" s="178" t="n"/>
    </row>
    <row r="47" ht="15" customHeight="1" s="46">
      <c r="A47" s="142" t="inlineStr">
        <is>
          <t>Risque majeur</t>
        </is>
      </c>
      <c r="B47" s="144" t="inlineStr">
        <is>
          <t>Trésorerie (si recrutement mal calibré)</t>
        </is>
      </c>
      <c r="C47" s="177" t="n"/>
      <c r="D47" s="177" t="n"/>
      <c r="E47" s="177" t="n"/>
      <c r="F47" s="177" t="n"/>
      <c r="G47" s="177" t="n"/>
      <c r="H47" s="177" t="n"/>
      <c r="I47" s="177" t="n"/>
      <c r="J47" s="177" t="n"/>
      <c r="K47" s="178" t="n"/>
    </row>
    <row r="48" ht="15" customHeight="1" s="46">
      <c r="A48" s="142" t="inlineStr">
        <is>
          <t>Erreur à éviter</t>
        </is>
      </c>
      <c r="B48" s="144" t="inlineStr">
        <is>
          <t>Recruter sans process stabilisé / déléguer sans contrôle / Ignorer échéance AI Act 02/08/2026 (formation IA obligatoire)</t>
        </is>
      </c>
      <c r="C48" s="177" t="n"/>
      <c r="D48" s="177" t="n"/>
      <c r="E48" s="177" t="n"/>
      <c r="F48" s="177" t="n"/>
      <c r="G48" s="177" t="n"/>
      <c r="H48" s="177" t="n"/>
      <c r="I48" s="177" t="n"/>
      <c r="J48" s="177" t="n"/>
      <c r="K48" s="178" t="n"/>
    </row>
    <row r="49" ht="15" customHeight="1" s="46">
      <c r="A49" s="142" t="inlineStr">
        <is>
          <t>Action prioritaire</t>
        </is>
      </c>
      <c r="B49" s="144" t="inlineStr">
        <is>
          <t>Structurer la délégation et le contrôle qualité</t>
        </is>
      </c>
      <c r="C49" s="177" t="n"/>
      <c r="D49" s="177" t="n"/>
      <c r="E49" s="177" t="n"/>
      <c r="F49" s="177" t="n"/>
      <c r="G49" s="177" t="n"/>
      <c r="H49" s="177" t="n"/>
      <c r="I49" s="177" t="n"/>
      <c r="J49" s="177" t="n"/>
      <c r="K49" s="178" t="n"/>
    </row>
    <row r="50" ht="15" customHeight="1" s="46">
      <c r="A50" s="142" t="inlineStr">
        <is>
          <t>Condition fin M+12</t>
        </is>
      </c>
      <c r="B50" s="147" t="inlineStr">
        <is>
          <t>Bilan annuel positif + Vision Année 2 définie</t>
        </is>
      </c>
      <c r="C50" s="177" t="n"/>
      <c r="D50" s="177" t="n"/>
      <c r="E50" s="177" t="n"/>
      <c r="F50" s="177" t="n"/>
      <c r="G50" s="177" t="n"/>
      <c r="H50" s="177" t="n"/>
      <c r="I50" s="177" t="n"/>
      <c r="J50" s="177" t="n"/>
      <c r="K50" s="178" t="n"/>
    </row>
    <row r="53" ht="15" customHeight="1" s="46">
      <c r="A53" s="154" t="inlineStr">
        <is>
          <t>📊 LIEN AVEC LE PRÉVISIONNEL (Annexe 7)</t>
        </is>
      </c>
    </row>
    <row r="54" ht="15" customHeight="1" s="46">
      <c r="A54" t="inlineStr">
        <is>
          <t>Le passage à la période suivante suppose de vérifier les hypothèses du prévisionnel. Un écart &gt; 20% impose une révision.</t>
        </is>
      </c>
    </row>
    <row r="55" ht="15" customHeight="1" s="46">
      <c r="A55" t="inlineStr">
        <is>
          <t>Le recrutement n'est envisagé qu'après stabilisation de la marge unitaire (Période 3 terminée).</t>
        </is>
      </c>
    </row>
    <row r="56" ht="15" customHeight="1" s="46">
      <c r="A56" s="64" t="inlineStr">
        <is>
          <t>Le Gantt est pilote par l'economie : si les seuils ne sont pas atteints, rester en periode actuelle.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B49:K49"/>
    <mergeCell ref="B9:K9"/>
    <mergeCell ref="B30:K30"/>
    <mergeCell ref="B6:K6"/>
    <mergeCell ref="B24:K24"/>
    <mergeCell ref="B20:K20"/>
    <mergeCell ref="B33:K33"/>
    <mergeCell ref="A1:K1"/>
    <mergeCell ref="B5:K5"/>
    <mergeCell ref="B36:K36"/>
    <mergeCell ref="B45:K45"/>
    <mergeCell ref="B41:K41"/>
    <mergeCell ref="B32:K32"/>
    <mergeCell ref="B50:K50"/>
    <mergeCell ref="A54:K54"/>
    <mergeCell ref="B26:K26"/>
    <mergeCell ref="B35:K35"/>
    <mergeCell ref="A16:K16"/>
    <mergeCell ref="B7:K7"/>
    <mergeCell ref="B25:K25"/>
    <mergeCell ref="B47:K47"/>
    <mergeCell ref="A56:K56"/>
    <mergeCell ref="B31:K31"/>
    <mergeCell ref="B46:K46"/>
    <mergeCell ref="B22:K22"/>
    <mergeCell ref="A55:K55"/>
    <mergeCell ref="B18:K18"/>
    <mergeCell ref="B21:K21"/>
    <mergeCell ref="A2:K2"/>
    <mergeCell ref="B43:K43"/>
    <mergeCell ref="B12:K12"/>
    <mergeCell ref="B48:K48"/>
    <mergeCell ref="B11:K11"/>
    <mergeCell ref="B42:K42"/>
    <mergeCell ref="A53:K53"/>
    <mergeCell ref="B23:K23"/>
    <mergeCell ref="A4:K4"/>
    <mergeCell ref="B8:K8"/>
    <mergeCell ref="B14:K14"/>
    <mergeCell ref="B17:K17"/>
    <mergeCell ref="B13:K13"/>
    <mergeCell ref="B44:K44"/>
    <mergeCell ref="B29:K29"/>
    <mergeCell ref="A28:K28"/>
    <mergeCell ref="B38:K38"/>
    <mergeCell ref="B34:K34"/>
    <mergeCell ref="B10:K10"/>
    <mergeCell ref="A40:K40"/>
    <mergeCell ref="B19:K19"/>
    <mergeCell ref="B37:K37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zoomScaleNormal="100" workbookViewId="0">
      <selection activeCell="N19" sqref="N19"/>
    </sheetView>
  </sheetViews>
  <sheetFormatPr baseColWidth="10" defaultColWidth="8.6640625" defaultRowHeight="14.4"/>
  <cols>
    <col width="4" customWidth="1" style="46" min="1" max="1"/>
    <col width="45" customWidth="1" style="46" min="2" max="2"/>
    <col width="50" bestFit="1" customWidth="1" style="46" min="3" max="3"/>
  </cols>
  <sheetData>
    <row r="1" ht="19.5" customHeight="1" s="46">
      <c r="A1" s="68" t="inlineStr">
        <is>
          <t>DIAGRAMME DE GANTT - Planning interactif</t>
        </is>
      </c>
    </row>
    <row r="2" ht="15" customHeight="1" s="46">
      <c r="A2" t="inlineStr">
        <is>
          <t>Type:</t>
        </is>
      </c>
      <c r="B2" s="65">
        <f>'2-Mon Projet'!D11</f>
        <v/>
      </c>
      <c r="D2" t="inlineStr">
        <is>
          <t>Duree:</t>
        </is>
      </c>
      <c r="E2" s="65">
        <f>'2-Mon Projet'!D51&amp;" mois"</f>
        <v/>
      </c>
      <c r="G2" t="inlineStr">
        <is>
          <t>RH:</t>
        </is>
      </c>
      <c r="H2" s="65">
        <f>'2-Mon Projet'!D47</f>
        <v/>
      </c>
    </row>
    <row r="4" ht="15" customHeight="1" s="46">
      <c r="A4" s="28" t="inlineStr">
        <is>
          <t>ID</t>
        </is>
      </c>
      <c r="B4" s="28" t="inlineStr">
        <is>
          <t>Phase</t>
        </is>
      </c>
      <c r="C4" s="28" t="inlineStr">
        <is>
          <t>Tache</t>
        </is>
      </c>
      <c r="D4" s="28" t="inlineStr">
        <is>
          <t>Sem.</t>
        </is>
      </c>
      <c r="E4" s="28" t="inlineStr">
        <is>
          <t>Deb</t>
        </is>
      </c>
      <c r="F4" s="28" t="inlineStr">
        <is>
          <t>Fin</t>
        </is>
      </c>
      <c r="G4" s="28" t="inlineStr">
        <is>
          <t>Crit</t>
        </is>
      </c>
      <c r="H4" s="29" t="inlineStr">
        <is>
          <t>M-6</t>
        </is>
      </c>
      <c r="I4" s="29" t="inlineStr">
        <is>
          <t>M-5</t>
        </is>
      </c>
      <c r="J4" s="29" t="inlineStr">
        <is>
          <t>M-4</t>
        </is>
      </c>
      <c r="K4" s="29" t="inlineStr">
        <is>
          <t>M-3</t>
        </is>
      </c>
      <c r="L4" s="29" t="inlineStr">
        <is>
          <t>M-2</t>
        </is>
      </c>
      <c r="M4" s="29" t="inlineStr">
        <is>
          <t>M-1</t>
        </is>
      </c>
      <c r="N4" s="30" t="inlineStr">
        <is>
          <t>M0</t>
        </is>
      </c>
      <c r="O4" s="29" t="inlineStr">
        <is>
          <t>M+1</t>
        </is>
      </c>
      <c r="P4" s="29" t="inlineStr">
        <is>
          <t>M+2</t>
        </is>
      </c>
      <c r="Q4" s="29" t="inlineStr">
        <is>
          <t>M+3</t>
        </is>
      </c>
      <c r="R4" s="29" t="inlineStr">
        <is>
          <t>M+4</t>
        </is>
      </c>
      <c r="S4" s="29" t="inlineStr">
        <is>
          <t>M+5</t>
        </is>
      </c>
      <c r="T4" s="29" t="inlineStr">
        <is>
          <t>M+6</t>
        </is>
      </c>
      <c r="U4" s="29" t="inlineStr">
        <is>
          <t>M+7</t>
        </is>
      </c>
      <c r="V4" s="29" t="inlineStr">
        <is>
          <t>M+8</t>
        </is>
      </c>
      <c r="W4" s="29" t="inlineStr">
        <is>
          <t>M+9</t>
        </is>
      </c>
      <c r="X4" s="29" t="inlineStr">
        <is>
          <t>M+10</t>
        </is>
      </c>
      <c r="Y4" s="29" t="inlineStr">
        <is>
          <t>M+11</t>
        </is>
      </c>
      <c r="Z4" s="29" t="inlineStr">
        <is>
          <t>M+12</t>
        </is>
      </c>
    </row>
    <row r="5" ht="15" customHeight="1" s="46">
      <c r="A5" s="31" t="n"/>
      <c r="B5" s="31" t="inlineStr">
        <is>
          <t>PHASE 0</t>
        </is>
      </c>
      <c r="C5" s="31" t="inlineStr">
        <is>
          <t>PREPARATION</t>
        </is>
      </c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</row>
    <row r="6" ht="15" customHeight="1" s="46">
      <c r="A6" t="inlineStr">
        <is>
          <t>0.1</t>
        </is>
      </c>
      <c r="B6" t="inlineStr">
        <is>
          <t>Phase 0</t>
        </is>
      </c>
      <c r="C6" t="inlineStr">
        <is>
          <t>Autodiagnostic</t>
        </is>
      </c>
      <c r="D6" s="65">
        <f>ROUND(2*'2-Mon Projet'!$D$45,0)</f>
        <v/>
      </c>
      <c r="E6" s="65" t="n">
        <v>-6</v>
      </c>
      <c r="F6" s="65">
        <f>IF(OR($D6="-",$D6=""),"",$E6+ROUND($D6/4,0))</f>
        <v/>
      </c>
      <c r="G6" t="inlineStr">
        <is>
          <t>OUI</t>
        </is>
      </c>
      <c r="H6" s="221">
        <f>IF(OR($D6="-",$D6=""),"",IF(AND(-6&gt;=$E6,-6&lt;=$F6),1,""))</f>
        <v/>
      </c>
      <c r="I6" s="221">
        <f>IF(OR($D6="-",$D6=""),"",IF(AND(-5&gt;=$E6,-5&lt;=$F6),1,""))</f>
        <v/>
      </c>
      <c r="J6" s="32">
        <f>IF(OR($D6="-",$D6=""),"",IF(AND(-4&gt;=$E6,-4&lt;=$F6),1,""))</f>
        <v/>
      </c>
      <c r="K6" s="32">
        <f>IF(OR($D6="-",$D6=""),"",IF(AND(-3&gt;=$E6,-3&lt;=$F6),1,""))</f>
        <v/>
      </c>
      <c r="L6" s="32">
        <f>IF(OR($D6="-",$D6=""),"",IF(AND(-2&gt;=$E6,-2&lt;=$F6),1,""))</f>
        <v/>
      </c>
      <c r="M6" s="32">
        <f>IF(OR($D6="-",$D6=""),"",IF(AND(-1&gt;=$E6,-1&lt;=$F6),1,""))</f>
        <v/>
      </c>
      <c r="N6" s="32">
        <f>IF(OR($D6="-",$D6=""),"",IF(AND(0&gt;=$E6,0&lt;=$F6),1,""))</f>
        <v/>
      </c>
      <c r="O6" s="32">
        <f>IF(OR($D6="-",$D6=""),"",IF(AND(1&gt;=$E6,1&lt;=$F6),1,""))</f>
        <v/>
      </c>
      <c r="P6" s="32">
        <f>IF(OR($D6="-",$D6=""),"",IF(AND(2&gt;=$E6,2&lt;=$F6),1,""))</f>
        <v/>
      </c>
      <c r="Q6" s="32">
        <f>IF(OR($D6="-",$D6=""),"",IF(AND(3&gt;=$E6,3&lt;=$F6),1,""))</f>
        <v/>
      </c>
      <c r="R6" s="32">
        <f>IF(OR($D6="-",$D6=""),"",IF(AND(4&gt;=$E6,4&lt;=$F6),1,""))</f>
        <v/>
      </c>
      <c r="S6" s="32">
        <f>IF(OR($D6="-",$D6=""),"",IF(AND(5&gt;=$E6,5&lt;=$F6),1,""))</f>
        <v/>
      </c>
      <c r="T6" s="32">
        <f>IF(OR($D6="-",$D6=""),"",IF(AND(6&gt;=$E6,6&lt;=$F6),1,""))</f>
        <v/>
      </c>
      <c r="U6" s="32">
        <f>IF(OR($D6="-",$D6=""),"",IF(AND(7&gt;=$E6,7&lt;=$F6),1,""))</f>
        <v/>
      </c>
      <c r="V6" s="32">
        <f>IF(OR($D6="-",$D6=""),"",IF(AND(8&gt;=$E6,8&lt;=$F6),1,""))</f>
        <v/>
      </c>
      <c r="W6" s="32">
        <f>IF(OR($D6="-",$D6=""),"",IF(AND(9&gt;=$E6,9&lt;=$F6),1,""))</f>
        <v/>
      </c>
      <c r="X6" s="32">
        <f>IF(OR($D6="-",$D6=""),"",IF(AND(10&gt;=$E6,10&lt;=$F6),1,""))</f>
        <v/>
      </c>
      <c r="Y6" s="32">
        <f>IF(OR($D6="-",$D6=""),"",IF(AND(11&gt;=$E6,11&lt;=$F6),1,""))</f>
        <v/>
      </c>
      <c r="Z6" s="32">
        <f>IF(OR($D6="-",$D6=""),"",IF(AND(12&gt;=$E6,12&lt;=$F6),1,""))</f>
        <v/>
      </c>
    </row>
    <row r="7" ht="15" customHeight="1" s="46">
      <c r="A7" t="inlineStr">
        <is>
          <t>0.2</t>
        </is>
      </c>
      <c r="B7" t="inlineStr">
        <is>
          <t>Phase 0</t>
        </is>
      </c>
      <c r="C7" t="inlineStr">
        <is>
          <t>Etude marché</t>
        </is>
      </c>
      <c r="D7" s="65">
        <f>ROUND(3*'2-Mon Projet'!$D$44*'2-Mon Projet'!$D$45,0)</f>
        <v/>
      </c>
      <c r="E7" s="65" t="n">
        <v>-5</v>
      </c>
      <c r="F7" s="65">
        <f>IF(OR($D7="-",$D7=""),"",$E7+ROUND($D7/4,0))</f>
        <v/>
      </c>
      <c r="G7" t="inlineStr">
        <is>
          <t>Non</t>
        </is>
      </c>
      <c r="H7" s="32">
        <f>IF(OR($D7="-",$D7=""),"",IF(AND(-6&gt;=$E7,-6&lt;=$F7),1,""))</f>
        <v/>
      </c>
      <c r="I7" s="221">
        <f>IF(OR($D7="-",$D7=""),"",IF(AND(-5&gt;=$E7,-5&lt;=$F7),1,""))</f>
        <v/>
      </c>
      <c r="J7" s="221">
        <f>IF(OR($D7="-",$D7=""),"",IF(AND(-4&gt;=$E7,-4&lt;=$F7),1,""))</f>
        <v/>
      </c>
      <c r="K7" s="32">
        <f>IF(OR($D7="-",$D7=""),"",IF(AND(-3&gt;=$E7,-3&lt;=$F7),1,""))</f>
        <v/>
      </c>
      <c r="L7" s="32">
        <f>IF(OR($D7="-",$D7=""),"",IF(AND(-2&gt;=$E7,-2&lt;=$F7),1,""))</f>
        <v/>
      </c>
      <c r="M7" s="32">
        <f>IF(OR($D7="-",$D7=""),"",IF(AND(-1&gt;=$E7,-1&lt;=$F7),1,""))</f>
        <v/>
      </c>
      <c r="N7" s="32">
        <f>IF(OR($D7="-",$D7=""),"",IF(AND(0&gt;=$E7,0&lt;=$F7),1,""))</f>
        <v/>
      </c>
      <c r="O7" s="32">
        <f>IF(OR($D7="-",$D7=""),"",IF(AND(1&gt;=$E7,1&lt;=$F7),1,""))</f>
        <v/>
      </c>
      <c r="P7" s="32">
        <f>IF(OR($D7="-",$D7=""),"",IF(AND(2&gt;=$E7,2&lt;=$F7),1,""))</f>
        <v/>
      </c>
      <c r="Q7" s="32">
        <f>IF(OR($D7="-",$D7=""),"",IF(AND(3&gt;=$E7,3&lt;=$F7),1,""))</f>
        <v/>
      </c>
      <c r="R7" s="32">
        <f>IF(OR($D7="-",$D7=""),"",IF(AND(4&gt;=$E7,4&lt;=$F7),1,""))</f>
        <v/>
      </c>
      <c r="S7" s="32">
        <f>IF(OR($D7="-",$D7=""),"",IF(AND(5&gt;=$E7,5&lt;=$F7),1,""))</f>
        <v/>
      </c>
      <c r="T7" s="32">
        <f>IF(OR($D7="-",$D7=""),"",IF(AND(6&gt;=$E7,6&lt;=$F7),1,""))</f>
        <v/>
      </c>
      <c r="U7" s="32">
        <f>IF(OR($D7="-",$D7=""),"",IF(AND(7&gt;=$E7,7&lt;=$F7),1,""))</f>
        <v/>
      </c>
      <c r="V7" s="32">
        <f>IF(OR($D7="-",$D7=""),"",IF(AND(8&gt;=$E7,8&lt;=$F7),1,""))</f>
        <v/>
      </c>
      <c r="W7" s="32">
        <f>IF(OR($D7="-",$D7=""),"",IF(AND(9&gt;=$E7,9&lt;=$F7),1,""))</f>
        <v/>
      </c>
      <c r="X7" s="32">
        <f>IF(OR($D7="-",$D7=""),"",IF(AND(10&gt;=$E7,10&lt;=$F7),1,""))</f>
        <v/>
      </c>
      <c r="Y7" s="32">
        <f>IF(OR($D7="-",$D7=""),"",IF(AND(11&gt;=$E7,11&lt;=$F7),1,""))</f>
        <v/>
      </c>
      <c r="Z7" s="32">
        <f>IF(OR($D7="-",$D7=""),"",IF(AND(12&gt;=$E7,12&lt;=$F7),1,""))</f>
        <v/>
      </c>
    </row>
    <row r="8" ht="15" customHeight="1" s="46">
      <c r="A8" t="inlineStr">
        <is>
          <t>0.3</t>
        </is>
      </c>
      <c r="B8" t="inlineStr">
        <is>
          <t>Phase 0</t>
        </is>
      </c>
      <c r="C8" t="inlineStr">
        <is>
          <t>SWOT+BMC</t>
        </is>
      </c>
      <c r="D8" s="65">
        <f>ROUND(4*'2-Mon Projet'!$D$45,0)</f>
        <v/>
      </c>
      <c r="E8" s="65" t="n">
        <v>-4</v>
      </c>
      <c r="F8" s="65">
        <f>IF(OR($D8="-",$D8=""),"",$E8+ROUND($D8/4,0))</f>
        <v/>
      </c>
      <c r="G8" t="inlineStr">
        <is>
          <t>Non</t>
        </is>
      </c>
      <c r="H8" s="32">
        <f>IF(OR($D8="-",$D8=""),"",IF(AND(-6&gt;=$E8,-6&lt;=$F8),1,""))</f>
        <v/>
      </c>
      <c r="I8" s="32">
        <f>IF(OR($D8="-",$D8=""),"",IF(AND(-5&gt;=$E8,-5&lt;=$F8),1,""))</f>
        <v/>
      </c>
      <c r="J8" s="221">
        <f>IF(OR($D8="-",$D8=""),"",IF(AND(-4&gt;=$E8,-4&lt;=$F8),1,""))</f>
        <v/>
      </c>
      <c r="K8" s="221">
        <f>IF(OR($D8="-",$D8=""),"",IF(AND(-3&gt;=$E8,-3&lt;=$F8),1,""))</f>
        <v/>
      </c>
      <c r="L8" s="32">
        <f>IF(OR($D8="-",$D8=""),"",IF(AND(-2&gt;=$E8,-2&lt;=$F8),1,""))</f>
        <v/>
      </c>
      <c r="M8" s="32">
        <f>IF(OR($D8="-",$D8=""),"",IF(AND(-1&gt;=$E8,-1&lt;=$F8),1,""))</f>
        <v/>
      </c>
      <c r="N8" s="32">
        <f>IF(OR($D8="-",$D8=""),"",IF(AND(0&gt;=$E8,0&lt;=$F8),1,""))</f>
        <v/>
      </c>
      <c r="O8" s="32">
        <f>IF(OR($D8="-",$D8=""),"",IF(AND(1&gt;=$E8,1&lt;=$F8),1,""))</f>
        <v/>
      </c>
      <c r="P8" s="32">
        <f>IF(OR($D8="-",$D8=""),"",IF(AND(2&gt;=$E8,2&lt;=$F8),1,""))</f>
        <v/>
      </c>
      <c r="Q8" s="32">
        <f>IF(OR($D8="-",$D8=""),"",IF(AND(3&gt;=$E8,3&lt;=$F8),1,""))</f>
        <v/>
      </c>
      <c r="R8" s="32">
        <f>IF(OR($D8="-",$D8=""),"",IF(AND(4&gt;=$E8,4&lt;=$F8),1,""))</f>
        <v/>
      </c>
      <c r="S8" s="32">
        <f>IF(OR($D8="-",$D8=""),"",IF(AND(5&gt;=$E8,5&lt;=$F8),1,""))</f>
        <v/>
      </c>
      <c r="T8" s="32">
        <f>IF(OR($D8="-",$D8=""),"",IF(AND(6&gt;=$E8,6&lt;=$F8),1,""))</f>
        <v/>
      </c>
      <c r="U8" s="32">
        <f>IF(OR($D8="-",$D8=""),"",IF(AND(7&gt;=$E8,7&lt;=$F8),1,""))</f>
        <v/>
      </c>
      <c r="V8" s="32">
        <f>IF(OR($D8="-",$D8=""),"",IF(AND(8&gt;=$E8,8&lt;=$F8),1,""))</f>
        <v/>
      </c>
      <c r="W8" s="32">
        <f>IF(OR($D8="-",$D8=""),"",IF(AND(9&gt;=$E8,9&lt;=$F8),1,""))</f>
        <v/>
      </c>
      <c r="X8" s="32">
        <f>IF(OR($D8="-",$D8=""),"",IF(AND(10&gt;=$E8,10&lt;=$F8),1,""))</f>
        <v/>
      </c>
      <c r="Y8" s="32">
        <f>IF(OR($D8="-",$D8=""),"",IF(AND(11&gt;=$E8,11&lt;=$F8),1,""))</f>
        <v/>
      </c>
      <c r="Z8" s="32">
        <f>IF(OR($D8="-",$D8=""),"",IF(AND(12&gt;=$E8,12&lt;=$F8),1,""))</f>
        <v/>
      </c>
    </row>
    <row r="9" ht="15" customHeight="1" s="46">
      <c r="A9" t="inlineStr">
        <is>
          <t>0.4</t>
        </is>
      </c>
      <c r="B9" t="inlineStr">
        <is>
          <t>Phase 0</t>
        </is>
      </c>
      <c r="C9" t="inlineStr">
        <is>
          <t>Prévisionnel</t>
        </is>
      </c>
      <c r="D9" s="65">
        <f>ROUND(3*'2-Mon Projet'!$D$45,0)</f>
        <v/>
      </c>
      <c r="E9" s="65" t="n">
        <v>-3</v>
      </c>
      <c r="F9" s="65">
        <f>IF(OR($D9="-",$D9=""),"",$E9+ROUND($D9/4,0))</f>
        <v/>
      </c>
      <c r="G9" t="inlineStr">
        <is>
          <t>Non</t>
        </is>
      </c>
      <c r="H9" s="32">
        <f>IF(OR($D9="-",$D9=""),"",IF(AND(-6&gt;=$E9,-6&lt;=$F9),1,""))</f>
        <v/>
      </c>
      <c r="I9" s="32">
        <f>IF(OR($D9="-",$D9=""),"",IF(AND(-5&gt;=$E9,-5&lt;=$F9),1,""))</f>
        <v/>
      </c>
      <c r="J9" s="32">
        <f>IF(OR($D9="-",$D9=""),"",IF(AND(-4&gt;=$E9,-4&lt;=$F9),1,""))</f>
        <v/>
      </c>
      <c r="K9" s="221">
        <f>IF(OR($D9="-",$D9=""),"",IF(AND(-3&gt;=$E9,-3&lt;=$F9),1,""))</f>
        <v/>
      </c>
      <c r="L9" s="221">
        <f>IF(OR($D9="-",$D9=""),"",IF(AND(-2&gt;=$E9,-2&lt;=$F9),1,""))</f>
        <v/>
      </c>
      <c r="M9" s="32">
        <f>IF(OR($D9="-",$D9=""),"",IF(AND(-1&gt;=$E9,-1&lt;=$F9),1,""))</f>
        <v/>
      </c>
      <c r="N9" s="32">
        <f>IF(OR($D9="-",$D9=""),"",IF(AND(0&gt;=$E9,0&lt;=$F9),1,""))</f>
        <v/>
      </c>
      <c r="O9" s="32">
        <f>IF(OR($D9="-",$D9=""),"",IF(AND(1&gt;=$E9,1&lt;=$F9),1,""))</f>
        <v/>
      </c>
      <c r="P9" s="32">
        <f>IF(OR($D9="-",$D9=""),"",IF(AND(2&gt;=$E9,2&lt;=$F9),1,""))</f>
        <v/>
      </c>
      <c r="Q9" s="32">
        <f>IF(OR($D9="-",$D9=""),"",IF(AND(3&gt;=$E9,3&lt;=$F9),1,""))</f>
        <v/>
      </c>
      <c r="R9" s="32">
        <f>IF(OR($D9="-",$D9=""),"",IF(AND(4&gt;=$E9,4&lt;=$F9),1,""))</f>
        <v/>
      </c>
      <c r="S9" s="32">
        <f>IF(OR($D9="-",$D9=""),"",IF(AND(5&gt;=$E9,5&lt;=$F9),1,""))</f>
        <v/>
      </c>
      <c r="T9" s="32">
        <f>IF(OR($D9="-",$D9=""),"",IF(AND(6&gt;=$E9,6&lt;=$F9),1,""))</f>
        <v/>
      </c>
      <c r="U9" s="32">
        <f>IF(OR($D9="-",$D9=""),"",IF(AND(7&gt;=$E9,7&lt;=$F9),1,""))</f>
        <v/>
      </c>
      <c r="V9" s="32">
        <f>IF(OR($D9="-",$D9=""),"",IF(AND(8&gt;=$E9,8&lt;=$F9),1,""))</f>
        <v/>
      </c>
      <c r="W9" s="32">
        <f>IF(OR($D9="-",$D9=""),"",IF(AND(9&gt;=$E9,9&lt;=$F9),1,""))</f>
        <v/>
      </c>
      <c r="X9" s="32">
        <f>IF(OR($D9="-",$D9=""),"",IF(AND(10&gt;=$E9,10&lt;=$F9),1,""))</f>
        <v/>
      </c>
      <c r="Y9" s="32">
        <f>IF(OR($D9="-",$D9=""),"",IF(AND(11&gt;=$E9,11&lt;=$F9),1,""))</f>
        <v/>
      </c>
      <c r="Z9" s="32">
        <f>IF(OR($D9="-",$D9=""),"",IF(AND(12&gt;=$E9,12&lt;=$F9),1,""))</f>
        <v/>
      </c>
    </row>
    <row r="10" ht="15" customHeight="1" s="46">
      <c r="A10" t="inlineStr">
        <is>
          <t>0.5</t>
        </is>
      </c>
      <c r="B10" t="inlineStr">
        <is>
          <t>Phase 0</t>
        </is>
      </c>
      <c r="C10" t="inlineStr">
        <is>
          <t>Archi SI</t>
        </is>
      </c>
      <c r="D10" s="65">
        <f>ROUND(2*'2-Mon Projet'!$D$46,0)</f>
        <v/>
      </c>
      <c r="E10" s="65" t="n">
        <v>-3</v>
      </c>
      <c r="F10" s="65">
        <f>IF(OR($D10="-",$D10=""),"",$E10+ROUND($D10/4,0))</f>
        <v/>
      </c>
      <c r="G10" t="inlineStr">
        <is>
          <t>Non</t>
        </is>
      </c>
      <c r="H10" s="32">
        <f>IF(OR($D10="-",$D10=""),"",IF(AND(-6&gt;=$E10,-6&lt;=$F10),1,""))</f>
        <v/>
      </c>
      <c r="I10" s="32">
        <f>IF(OR($D10="-",$D10=""),"",IF(AND(-5&gt;=$E10,-5&lt;=$F10),1,""))</f>
        <v/>
      </c>
      <c r="J10" s="32">
        <f>IF(OR($D10="-",$D10=""),"",IF(AND(-4&gt;=$E10,-4&lt;=$F10),1,""))</f>
        <v/>
      </c>
      <c r="K10" s="221">
        <f>IF(OR($D10="-",$D10=""),"",IF(AND(-3&gt;=$E10,-3&lt;=$F10),1,""))</f>
        <v/>
      </c>
      <c r="L10" s="221">
        <f>IF(OR($D10="-",$D10=""),"",IF(AND(-2&gt;=$E10,-2&lt;=$F10),1,""))</f>
        <v/>
      </c>
      <c r="M10" s="32">
        <f>IF(OR($D10="-",$D10=""),"",IF(AND(-1&gt;=$E10,-1&lt;=$F10),1,""))</f>
        <v/>
      </c>
      <c r="N10" s="32">
        <f>IF(OR($D10="-",$D10=""),"",IF(AND(0&gt;=$E10,0&lt;=$F10),1,""))</f>
        <v/>
      </c>
      <c r="O10" s="32">
        <f>IF(OR($D10="-",$D10=""),"",IF(AND(1&gt;=$E10,1&lt;=$F10),1,""))</f>
        <v/>
      </c>
      <c r="P10" s="32">
        <f>IF(OR($D10="-",$D10=""),"",IF(AND(2&gt;=$E10,2&lt;=$F10),1,""))</f>
        <v/>
      </c>
      <c r="Q10" s="32">
        <f>IF(OR($D10="-",$D10=""),"",IF(AND(3&gt;=$E10,3&lt;=$F10),1,""))</f>
        <v/>
      </c>
      <c r="R10" s="32">
        <f>IF(OR($D10="-",$D10=""),"",IF(AND(4&gt;=$E10,4&lt;=$F10),1,""))</f>
        <v/>
      </c>
      <c r="S10" s="32">
        <f>IF(OR($D10="-",$D10=""),"",IF(AND(5&gt;=$E10,5&lt;=$F10),1,""))</f>
        <v/>
      </c>
      <c r="T10" s="32">
        <f>IF(OR($D10="-",$D10=""),"",IF(AND(6&gt;=$E10,6&lt;=$F10),1,""))</f>
        <v/>
      </c>
      <c r="U10" s="32">
        <f>IF(OR($D10="-",$D10=""),"",IF(AND(7&gt;=$E10,7&lt;=$F10),1,""))</f>
        <v/>
      </c>
      <c r="V10" s="32">
        <f>IF(OR($D10="-",$D10=""),"",IF(AND(8&gt;=$E10,8&lt;=$F10),1,""))</f>
        <v/>
      </c>
      <c r="W10" s="32">
        <f>IF(OR($D10="-",$D10=""),"",IF(AND(9&gt;=$E10,9&lt;=$F10),1,""))</f>
        <v/>
      </c>
      <c r="X10" s="32">
        <f>IF(OR($D10="-",$D10=""),"",IF(AND(10&gt;=$E10,10&lt;=$F10),1,""))</f>
        <v/>
      </c>
      <c r="Y10" s="32">
        <f>IF(OR($D10="-",$D10=""),"",IF(AND(11&gt;=$E10,11&lt;=$F10),1,""))</f>
        <v/>
      </c>
      <c r="Z10" s="32">
        <f>IF(OR($D10="-",$D10=""),"",IF(AND(12&gt;=$E10,12&lt;=$F10),1,""))</f>
        <v/>
      </c>
    </row>
    <row r="11" ht="15" customHeight="1" s="46">
      <c r="A11" t="inlineStr">
        <is>
          <t>0.6</t>
        </is>
      </c>
      <c r="B11" t="inlineStr">
        <is>
          <t>Phase 0</t>
        </is>
      </c>
      <c r="C11" t="inlineStr">
        <is>
          <t>Formation IA &amp; Data</t>
        </is>
      </c>
      <c r="D11" s="65">
        <f>2</f>
        <v/>
      </c>
      <c r="E11" s="65" t="n">
        <v>-4</v>
      </c>
      <c r="F11" s="65">
        <f>IF(OR($D11="-",$D11=""),"",$E11+ROUND($D11/4,0))</f>
        <v/>
      </c>
      <c r="G11" t="inlineStr">
        <is>
          <t>OUI</t>
        </is>
      </c>
      <c r="H11" s="32">
        <f>IF(OR($D11="-",$D11=""),"",IF(AND(-6&gt;=$E11,-6&lt;=$F11),1,""))</f>
        <v/>
      </c>
      <c r="I11" s="32">
        <f>IF(OR($D11="-",$D11=""),"",IF(AND(-5&gt;=$E11,-5&lt;=$F11),1,""))</f>
        <v/>
      </c>
      <c r="J11" s="221">
        <f>IF(OR($D11="-",$D11=""),"",IF(AND(-4&gt;=$E11,-4&lt;=$F11),1,""))</f>
        <v/>
      </c>
      <c r="K11" s="221">
        <f>IF(OR($D11="-",$D11=""),"",IF(AND(-3&gt;=$E11,-3&lt;=$F11),1,""))</f>
        <v/>
      </c>
      <c r="L11" s="32">
        <f>IF(OR($D11="-",$D11=""),"",IF(AND(-2&gt;=$E11,-2&lt;=$F11),1,""))</f>
        <v/>
      </c>
      <c r="M11" s="32">
        <f>IF(OR($D11="-",$D11=""),"",IF(AND(-1&gt;=$E11,-1&lt;=$F11),1,""))</f>
        <v/>
      </c>
      <c r="N11" s="32">
        <f>IF(OR($D11="-",$D11=""),"",IF(AND(0&gt;=$E11,0&lt;=$F11),1,""))</f>
        <v/>
      </c>
      <c r="O11" s="32">
        <f>IF(OR($D11="-",$D11=""),"",IF(AND(1&gt;=$E11,1&lt;=$F11),1,""))</f>
        <v/>
      </c>
      <c r="P11" s="32">
        <f>IF(OR($D11="-",$D11=""),"",IF(AND(2&gt;=$E11,2&lt;=$F11),1,""))</f>
        <v/>
      </c>
      <c r="Q11" s="32">
        <f>IF(OR($D11="-",$D11=""),"",IF(AND(3&gt;=$E11,3&lt;=$F11),1,""))</f>
        <v/>
      </c>
      <c r="R11" s="32">
        <f>IF(OR($D11="-",$D11=""),"",IF(AND(4&gt;=$E11,4&lt;=$F11),1,""))</f>
        <v/>
      </c>
      <c r="S11" s="32">
        <f>IF(OR($D11="-",$D11=""),"",IF(AND(5&gt;=$E11,5&lt;=$F11),1,""))</f>
        <v/>
      </c>
      <c r="T11" s="32">
        <f>IF(OR($D11="-",$D11=""),"",IF(AND(6&gt;=$E11,6&lt;=$F11),1,""))</f>
        <v/>
      </c>
      <c r="U11" s="32">
        <f>IF(OR($D11="-",$D11=""),"",IF(AND(7&gt;=$E11,7&lt;=$F11),1,""))</f>
        <v/>
      </c>
      <c r="V11" s="32">
        <f>IF(OR($D11="-",$D11=""),"",IF(AND(8&gt;=$E11,8&lt;=$F11),1,""))</f>
        <v/>
      </c>
      <c r="W11" s="32">
        <f>IF(OR($D11="-",$D11=""),"",IF(AND(9&gt;=$E11,9&lt;=$F11),1,""))</f>
        <v/>
      </c>
      <c r="X11" s="32">
        <f>IF(OR($D11="-",$D11=""),"",IF(AND(10&gt;=$E11,10&lt;=$F11),1,""))</f>
        <v/>
      </c>
      <c r="Y11" s="32">
        <f>IF(OR($D11="-",$D11=""),"",IF(AND(11&gt;=$E11,11&lt;=$F11),1,""))</f>
        <v/>
      </c>
      <c r="Z11" s="32">
        <f>IF(OR($D11="-",$D11=""),"",IF(AND(12&gt;=$E11,12&lt;=$F11),1,""))</f>
        <v/>
      </c>
    </row>
    <row r="12" ht="15" customHeight="1" s="46">
      <c r="A12" s="31" t="n"/>
      <c r="B12" s="31" t="inlineStr">
        <is>
          <t>PHASE 1</t>
        </is>
      </c>
      <c r="C12" s="31" t="inlineStr">
        <is>
          <t>ADMINISTRATIF</t>
        </is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 ht="15" customHeight="1" s="46">
      <c r="A13" t="inlineStr">
        <is>
          <t>1.1</t>
        </is>
      </c>
      <c r="B13" t="inlineStr">
        <is>
          <t>Phase 1</t>
        </is>
      </c>
      <c r="C13" t="inlineStr">
        <is>
          <t>Statuts+Immat</t>
        </is>
      </c>
      <c r="D13" s="65">
        <f>ROUND(4*'2-Mon Projet'!$D$44,0)</f>
        <v/>
      </c>
      <c r="E13" s="65" t="n">
        <v>-2</v>
      </c>
      <c r="F13" s="65">
        <f>IF(OR($D13="-",$D13=""),"",$E13+ROUND($D13/4,0))</f>
        <v/>
      </c>
      <c r="G13" t="inlineStr">
        <is>
          <t>OUI</t>
        </is>
      </c>
      <c r="H13" s="32">
        <f>IF(OR($D13="-",$D13=""),"",IF(AND(-6&gt;=$E13,-6&lt;=$F13),1,""))</f>
        <v/>
      </c>
      <c r="I13" s="32">
        <f>IF(OR($D13="-",$D13=""),"",IF(AND(-5&gt;=$E13,-5&lt;=$F13),1,""))</f>
        <v/>
      </c>
      <c r="J13" s="32">
        <f>IF(OR($D13="-",$D13=""),"",IF(AND(-4&gt;=$E13,-4&lt;=$F13),1,""))</f>
        <v/>
      </c>
      <c r="K13" s="32">
        <f>IF(OR($D13="-",$D13=""),"",IF(AND(-3&gt;=$E13,-3&lt;=$F13),1,""))</f>
        <v/>
      </c>
      <c r="L13" s="222">
        <f>IF(OR($D13="-",$D13=""),"",IF(AND(-2&gt;=$E13,-2&lt;=$F13),1,""))</f>
        <v/>
      </c>
      <c r="M13" s="222">
        <f>IF(OR($D13="-",$D13=""),"",IF(AND(-1&gt;=$E13,-1&lt;=$F13),1,""))</f>
        <v/>
      </c>
      <c r="N13" s="32">
        <f>IF(OR($D13="-",$D13=""),"",IF(AND(0&gt;=$E13,0&lt;=$F13),1,""))</f>
        <v/>
      </c>
      <c r="O13" s="32">
        <f>IF(OR($D13="-",$D13=""),"",IF(AND(1&gt;=$E13,1&lt;=$F13),1,""))</f>
        <v/>
      </c>
      <c r="P13" s="32">
        <f>IF(OR($D13="-",$D13=""),"",IF(AND(2&gt;=$E13,2&lt;=$F13),1,""))</f>
        <v/>
      </c>
      <c r="Q13" s="32">
        <f>IF(OR($D13="-",$D13=""),"",IF(AND(3&gt;=$E13,3&lt;=$F13),1,""))</f>
        <v/>
      </c>
      <c r="R13" s="32">
        <f>IF(OR($D13="-",$D13=""),"",IF(AND(4&gt;=$E13,4&lt;=$F13),1,""))</f>
        <v/>
      </c>
      <c r="S13" s="32">
        <f>IF(OR($D13="-",$D13=""),"",IF(AND(5&gt;=$E13,5&lt;=$F13),1,""))</f>
        <v/>
      </c>
      <c r="T13" s="32">
        <f>IF(OR($D13="-",$D13=""),"",IF(AND(6&gt;=$E13,6&lt;=$F13),1,""))</f>
        <v/>
      </c>
      <c r="U13" s="32">
        <f>IF(OR($D13="-",$D13=""),"",IF(AND(7&gt;=$E13,7&lt;=$F13),1,""))</f>
        <v/>
      </c>
      <c r="V13" s="32">
        <f>IF(OR($D13="-",$D13=""),"",IF(AND(8&gt;=$E13,8&lt;=$F13),1,""))</f>
        <v/>
      </c>
      <c r="W13" s="32">
        <f>IF(OR($D13="-",$D13=""),"",IF(AND(9&gt;=$E13,9&lt;=$F13),1,""))</f>
        <v/>
      </c>
      <c r="X13" s="32">
        <f>IF(OR($D13="-",$D13=""),"",IF(AND(10&gt;=$E13,10&lt;=$F13),1,""))</f>
        <v/>
      </c>
      <c r="Y13" s="32">
        <f>IF(OR($D13="-",$D13=""),"",IF(AND(11&gt;=$E13,11&lt;=$F13),1,""))</f>
        <v/>
      </c>
      <c r="Z13" s="32">
        <f>IF(OR($D13="-",$D13=""),"",IF(AND(12&gt;=$E13,12&lt;=$F13),1,""))</f>
        <v/>
      </c>
    </row>
    <row r="14" ht="15" customHeight="1" s="46">
      <c r="A14" t="inlineStr">
        <is>
          <t>1.2</t>
        </is>
      </c>
      <c r="B14" t="inlineStr">
        <is>
          <t>Phase 1</t>
        </is>
      </c>
      <c r="C14" t="inlineStr">
        <is>
          <t>Inscription Ordre</t>
        </is>
      </c>
      <c r="D14" s="65">
        <f>ROUND(6*'2-Mon Projet'!$D$44,0)</f>
        <v/>
      </c>
      <c r="E14" s="65" t="n">
        <v>-1</v>
      </c>
      <c r="F14" s="65">
        <f>IF(OR($D14="-",$D14=""),"",$E14+ROUND($D14/4,0))</f>
        <v/>
      </c>
      <c r="G14" t="inlineStr">
        <is>
          <t>OUI</t>
        </is>
      </c>
      <c r="H14" s="32">
        <f>IF(OR($D14="-",$D14=""),"",IF(AND(-6&gt;=$E14,-6&lt;=$F14),1,""))</f>
        <v/>
      </c>
      <c r="I14" s="32">
        <f>IF(OR($D14="-",$D14=""),"",IF(AND(-5&gt;=$E14,-5&lt;=$F14),1,""))</f>
        <v/>
      </c>
      <c r="J14" s="32">
        <f>IF(OR($D14="-",$D14=""),"",IF(AND(-4&gt;=$E14,-4&lt;=$F14),1,""))</f>
        <v/>
      </c>
      <c r="K14" s="32">
        <f>IF(OR($D14="-",$D14=""),"",IF(AND(-3&gt;=$E14,-3&lt;=$F14),1,""))</f>
        <v/>
      </c>
      <c r="L14" s="32">
        <f>IF(OR($D14="-",$D14=""),"",IF(AND(-2&gt;=$E14,-2&lt;=$F14),1,""))</f>
        <v/>
      </c>
      <c r="M14" s="222">
        <f>IF(OR($D14="-",$D14=""),"",IF(AND(-1&gt;=$E14,-1&lt;=$F14),1,""))</f>
        <v/>
      </c>
      <c r="N14" s="222">
        <f>IF(OR($D14="-",$D14=""),"",IF(AND(0&gt;=$E14,0&lt;=$F14),1,""))</f>
        <v/>
      </c>
      <c r="O14" s="32">
        <f>IF(OR($D14="-",$D14=""),"",IF(AND(1&gt;=$E14,1&lt;=$F14),1,""))</f>
        <v/>
      </c>
      <c r="P14" s="32">
        <f>IF(OR($D14="-",$D14=""),"",IF(AND(2&gt;=$E14,2&lt;=$F14),1,""))</f>
        <v/>
      </c>
      <c r="Q14" s="32">
        <f>IF(OR($D14="-",$D14=""),"",IF(AND(3&gt;=$E14,3&lt;=$F14),1,""))</f>
        <v/>
      </c>
      <c r="R14" s="32">
        <f>IF(OR($D14="-",$D14=""),"",IF(AND(4&gt;=$E14,4&lt;=$F14),1,""))</f>
        <v/>
      </c>
      <c r="S14" s="32">
        <f>IF(OR($D14="-",$D14=""),"",IF(AND(5&gt;=$E14,5&lt;=$F14),1,""))</f>
        <v/>
      </c>
      <c r="T14" s="32">
        <f>IF(OR($D14="-",$D14=""),"",IF(AND(6&gt;=$E14,6&lt;=$F14),1,""))</f>
        <v/>
      </c>
      <c r="U14" s="32">
        <f>IF(OR($D14="-",$D14=""),"",IF(AND(7&gt;=$E14,7&lt;=$F14),1,""))</f>
        <v/>
      </c>
      <c r="V14" s="32">
        <f>IF(OR($D14="-",$D14=""),"",IF(AND(8&gt;=$E14,8&lt;=$F14),1,""))</f>
        <v/>
      </c>
      <c r="W14" s="32">
        <f>IF(OR($D14="-",$D14=""),"",IF(AND(9&gt;=$E14,9&lt;=$F14),1,""))</f>
        <v/>
      </c>
      <c r="X14" s="32">
        <f>IF(OR($D14="-",$D14=""),"",IF(AND(10&gt;=$E14,10&lt;=$F14),1,""))</f>
        <v/>
      </c>
      <c r="Y14" s="32">
        <f>IF(OR($D14="-",$D14=""),"",IF(AND(11&gt;=$E14,11&lt;=$F14),1,""))</f>
        <v/>
      </c>
      <c r="Z14" s="32">
        <f>IF(OR($D14="-",$D14=""),"",IF(AND(12&gt;=$E14,12&lt;=$F14),1,""))</f>
        <v/>
      </c>
    </row>
    <row r="15" ht="15" customHeight="1" s="46">
      <c r="A15" t="inlineStr">
        <is>
          <t>1.3</t>
        </is>
      </c>
      <c r="B15" t="inlineStr">
        <is>
          <t>Phase 1</t>
        </is>
      </c>
      <c r="C15" t="inlineStr">
        <is>
          <t>Assurance RCP</t>
        </is>
      </c>
      <c r="D15" s="65">
        <f>2</f>
        <v/>
      </c>
      <c r="E15" s="65" t="n">
        <v>-1</v>
      </c>
      <c r="F15" s="65">
        <f>IF(OR($D15="-",$D15=""),"",$E15+ROUND($D15/4,0))</f>
        <v/>
      </c>
      <c r="G15" t="inlineStr">
        <is>
          <t>OUI</t>
        </is>
      </c>
      <c r="H15" s="32">
        <f>IF(OR($D15="-",$D15=""),"",IF(AND(-6&gt;=$E15,-6&lt;=$F15),1,""))</f>
        <v/>
      </c>
      <c r="I15" s="32">
        <f>IF(OR($D15="-",$D15=""),"",IF(AND(-5&gt;=$E15,-5&lt;=$F15),1,""))</f>
        <v/>
      </c>
      <c r="J15" s="32">
        <f>IF(OR($D15="-",$D15=""),"",IF(AND(-4&gt;=$E15,-4&lt;=$F15),1,""))</f>
        <v/>
      </c>
      <c r="K15" s="32">
        <f>IF(OR($D15="-",$D15=""),"",IF(AND(-3&gt;=$E15,-3&lt;=$F15),1,""))</f>
        <v/>
      </c>
      <c r="L15" s="32">
        <f>IF(OR($D15="-",$D15=""),"",IF(AND(-2&gt;=$E15,-2&lt;=$F15),1,""))</f>
        <v/>
      </c>
      <c r="M15" s="222">
        <f>IF(OR($D15="-",$D15=""),"",IF(AND(-1&gt;=$E15,-1&lt;=$F15),1,""))</f>
        <v/>
      </c>
      <c r="N15" s="222">
        <f>IF(OR($D15="-",$D15=""),"",IF(AND(0&gt;=$E15,0&lt;=$F15),1,""))</f>
        <v/>
      </c>
      <c r="O15" s="32">
        <f>IF(OR($D15="-",$D15=""),"",IF(AND(1&gt;=$E15,1&lt;=$F15),1,""))</f>
        <v/>
      </c>
      <c r="P15" s="32">
        <f>IF(OR($D15="-",$D15=""),"",IF(AND(2&gt;=$E15,2&lt;=$F15),1,""))</f>
        <v/>
      </c>
      <c r="Q15" s="32">
        <f>IF(OR($D15="-",$D15=""),"",IF(AND(3&gt;=$E15,3&lt;=$F15),1,""))</f>
        <v/>
      </c>
      <c r="R15" s="32">
        <f>IF(OR($D15="-",$D15=""),"",IF(AND(4&gt;=$E15,4&lt;=$F15),1,""))</f>
        <v/>
      </c>
      <c r="S15" s="32">
        <f>IF(OR($D15="-",$D15=""),"",IF(AND(5&gt;=$E15,5&lt;=$F15),1,""))</f>
        <v/>
      </c>
      <c r="T15" s="32">
        <f>IF(OR($D15="-",$D15=""),"",IF(AND(6&gt;=$E15,6&lt;=$F15),1,""))</f>
        <v/>
      </c>
      <c r="U15" s="32">
        <f>IF(OR($D15="-",$D15=""),"",IF(AND(7&gt;=$E15,7&lt;=$F15),1,""))</f>
        <v/>
      </c>
      <c r="V15" s="32">
        <f>IF(OR($D15="-",$D15=""),"",IF(AND(8&gt;=$E15,8&lt;=$F15),1,""))</f>
        <v/>
      </c>
      <c r="W15" s="32">
        <f>IF(OR($D15="-",$D15=""),"",IF(AND(9&gt;=$E15,9&lt;=$F15),1,""))</f>
        <v/>
      </c>
      <c r="X15" s="32">
        <f>IF(OR($D15="-",$D15=""),"",IF(AND(10&gt;=$E15,10&lt;=$F15),1,""))</f>
        <v/>
      </c>
      <c r="Y15" s="32">
        <f>IF(OR($D15="-",$D15=""),"",IF(AND(11&gt;=$E15,11&lt;=$F15),1,""))</f>
        <v/>
      </c>
      <c r="Z15" s="32">
        <f>IF(OR($D15="-",$D15=""),"",IF(AND(12&gt;=$E15,12&lt;=$F15),1,""))</f>
        <v/>
      </c>
    </row>
    <row r="16" ht="15" customHeight="1" s="46">
      <c r="A16" s="31" t="n"/>
      <c r="B16" s="31" t="inlineStr">
        <is>
          <t>PHASE 2</t>
        </is>
      </c>
      <c r="C16" s="31" t="inlineStr">
        <is>
          <t>SI &amp; CONFORMITÉ</t>
        </is>
      </c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 ht="15" customHeight="1" s="46">
      <c r="A17" t="inlineStr">
        <is>
          <t>2.1</t>
        </is>
      </c>
      <c r="B17" t="inlineStr">
        <is>
          <t>Phase 2</t>
        </is>
      </c>
      <c r="C17" t="inlineStr">
        <is>
          <t>Logiciel prod</t>
        </is>
      </c>
      <c r="D17" s="65">
        <f>ROUND(4*'2-Mon Projet'!$D$44*'2-Mon Projet'!$D$46,0)</f>
        <v/>
      </c>
      <c r="E17" s="65" t="n">
        <v>-2</v>
      </c>
      <c r="F17" s="65">
        <f>IF(OR($D17="-",$D17=""),"",$E17+ROUND($D17/4,0))</f>
        <v/>
      </c>
      <c r="G17" t="inlineStr">
        <is>
          <t>Non</t>
        </is>
      </c>
      <c r="H17" s="32">
        <f>IF(OR($D17="-",$D17=""),"",IF(AND(-6&gt;=$E17,-6&lt;=$F17),1,""))</f>
        <v/>
      </c>
      <c r="I17" s="32">
        <f>IF(OR($D17="-",$D17=""),"",IF(AND(-5&gt;=$E17,-5&lt;=$F17),1,""))</f>
        <v/>
      </c>
      <c r="J17" s="32">
        <f>IF(OR($D17="-",$D17=""),"",IF(AND(-4&gt;=$E17,-4&lt;=$F17),1,""))</f>
        <v/>
      </c>
      <c r="K17" s="32">
        <f>IF(OR($D17="-",$D17=""),"",IF(AND(-3&gt;=$E17,-3&lt;=$F17),1,""))</f>
        <v/>
      </c>
      <c r="L17" s="223">
        <f>IF(OR($D17="-",$D17=""),"",IF(AND(-2&gt;=$E17,-2&lt;=$F17),1,""))</f>
        <v/>
      </c>
      <c r="M17" s="223">
        <f>IF(OR($D17="-",$D17=""),"",IF(AND(-1&gt;=$E17,-1&lt;=$F17),1,""))</f>
        <v/>
      </c>
      <c r="N17" s="32">
        <f>IF(OR($D17="-",$D17=""),"",IF(AND(0&gt;=$E17,0&lt;=$F17),1,""))</f>
        <v/>
      </c>
      <c r="O17" s="32">
        <f>IF(OR($D17="-",$D17=""),"",IF(AND(1&gt;=$E17,1&lt;=$F17),1,""))</f>
        <v/>
      </c>
      <c r="P17" s="32">
        <f>IF(OR($D17="-",$D17=""),"",IF(AND(2&gt;=$E17,2&lt;=$F17),1,""))</f>
        <v/>
      </c>
      <c r="Q17" s="32">
        <f>IF(OR($D17="-",$D17=""),"",IF(AND(3&gt;=$E17,3&lt;=$F17),1,""))</f>
        <v/>
      </c>
      <c r="R17" s="32">
        <f>IF(OR($D17="-",$D17=""),"",IF(AND(4&gt;=$E17,4&lt;=$F17),1,""))</f>
        <v/>
      </c>
      <c r="S17" s="32">
        <f>IF(OR($D17="-",$D17=""),"",IF(AND(5&gt;=$E17,5&lt;=$F17),1,""))</f>
        <v/>
      </c>
      <c r="T17" s="32">
        <f>IF(OR($D17="-",$D17=""),"",IF(AND(6&gt;=$E17,6&lt;=$F17),1,""))</f>
        <v/>
      </c>
      <c r="U17" s="32">
        <f>IF(OR($D17="-",$D17=""),"",IF(AND(7&gt;=$E17,7&lt;=$F17),1,""))</f>
        <v/>
      </c>
      <c r="V17" s="32">
        <f>IF(OR($D17="-",$D17=""),"",IF(AND(8&gt;=$E17,8&lt;=$F17),1,""))</f>
        <v/>
      </c>
      <c r="W17" s="32">
        <f>IF(OR($D17="-",$D17=""),"",IF(AND(9&gt;=$E17,9&lt;=$F17),1,""))</f>
        <v/>
      </c>
      <c r="X17" s="32">
        <f>IF(OR($D17="-",$D17=""),"",IF(AND(10&gt;=$E17,10&lt;=$F17),1,""))</f>
        <v/>
      </c>
      <c r="Y17" s="32">
        <f>IF(OR($D17="-",$D17=""),"",IF(AND(11&gt;=$E17,11&lt;=$F17),1,""))</f>
        <v/>
      </c>
      <c r="Z17" s="32">
        <f>IF(OR($D17="-",$D17=""),"",IF(AND(12&gt;=$E17,12&lt;=$F17),1,""))</f>
        <v/>
      </c>
    </row>
    <row r="18" ht="15" customHeight="1" s="46">
      <c r="A18" t="inlineStr">
        <is>
          <t>2.2</t>
        </is>
      </c>
      <c r="B18" t="inlineStr">
        <is>
          <t>Phase 2</t>
        </is>
      </c>
      <c r="C18" t="inlineStr">
        <is>
          <t>RGPD</t>
        </is>
      </c>
      <c r="D18" s="65">
        <f>ROUND(3*'2-Mon Projet'!$D$46,0)</f>
        <v/>
      </c>
      <c r="E18" s="65" t="n">
        <v>-1</v>
      </c>
      <c r="F18" s="65">
        <f>IF(OR($D18="-",$D18=""),"",$E18+ROUND($D18/4,0))</f>
        <v/>
      </c>
      <c r="G18" t="inlineStr">
        <is>
          <t>OUI</t>
        </is>
      </c>
      <c r="H18" s="32">
        <f>IF(OR($D18="-",$D18=""),"",IF(AND(-6&gt;=$E18,-6&lt;=$F18),1,""))</f>
        <v/>
      </c>
      <c r="I18" s="32">
        <f>IF(OR($D18="-",$D18=""),"",IF(AND(-5&gt;=$E18,-5&lt;=$F18),1,""))</f>
        <v/>
      </c>
      <c r="J18" s="32">
        <f>IF(OR($D18="-",$D18=""),"",IF(AND(-4&gt;=$E18,-4&lt;=$F18),1,""))</f>
        <v/>
      </c>
      <c r="K18" s="32">
        <f>IF(OR($D18="-",$D18=""),"",IF(AND(-3&gt;=$E18,-3&lt;=$F18),1,""))</f>
        <v/>
      </c>
      <c r="L18" s="32">
        <f>IF(OR($D18="-",$D18=""),"",IF(AND(-2&gt;=$E18,-2&lt;=$F18),1,""))</f>
        <v/>
      </c>
      <c r="M18" s="223">
        <f>IF(OR($D18="-",$D18=""),"",IF(AND(-1&gt;=$E18,-1&lt;=$F18),1,""))</f>
        <v/>
      </c>
      <c r="N18" s="223">
        <f>IF(OR($D18="-",$D18=""),"",IF(AND(0&gt;=$E18,0&lt;=$F18),1,""))</f>
        <v/>
      </c>
      <c r="O18" s="32">
        <f>IF(OR($D18="-",$D18=""),"",IF(AND(1&gt;=$E18,1&lt;=$F18),1,""))</f>
        <v/>
      </c>
      <c r="P18" s="32">
        <f>IF(OR($D18="-",$D18=""),"",IF(AND(2&gt;=$E18,2&lt;=$F18),1,""))</f>
        <v/>
      </c>
      <c r="Q18" s="32">
        <f>IF(OR($D18="-",$D18=""),"",IF(AND(3&gt;=$E18,3&lt;=$F18),1,""))</f>
        <v/>
      </c>
      <c r="R18" s="32">
        <f>IF(OR($D18="-",$D18=""),"",IF(AND(4&gt;=$E18,4&lt;=$F18),1,""))</f>
        <v/>
      </c>
      <c r="S18" s="32">
        <f>IF(OR($D18="-",$D18=""),"",IF(AND(5&gt;=$E18,5&lt;=$F18),1,""))</f>
        <v/>
      </c>
      <c r="T18" s="32">
        <f>IF(OR($D18="-",$D18=""),"",IF(AND(6&gt;=$E18,6&lt;=$F18),1,""))</f>
        <v/>
      </c>
      <c r="U18" s="32">
        <f>IF(OR($D18="-",$D18=""),"",IF(AND(7&gt;=$E18,7&lt;=$F18),1,""))</f>
        <v/>
      </c>
      <c r="V18" s="32">
        <f>IF(OR($D18="-",$D18=""),"",IF(AND(8&gt;=$E18,8&lt;=$F18),1,""))</f>
        <v/>
      </c>
      <c r="W18" s="32">
        <f>IF(OR($D18="-",$D18=""),"",IF(AND(9&gt;=$E18,9&lt;=$F18),1,""))</f>
        <v/>
      </c>
      <c r="X18" s="32">
        <f>IF(OR($D18="-",$D18=""),"",IF(AND(10&gt;=$E18,10&lt;=$F18),1,""))</f>
        <v/>
      </c>
      <c r="Y18" s="32">
        <f>IF(OR($D18="-",$D18=""),"",IF(AND(11&gt;=$E18,11&lt;=$F18),1,""))</f>
        <v/>
      </c>
      <c r="Z18" s="32">
        <f>IF(OR($D18="-",$D18=""),"",IF(AND(12&gt;=$E18,12&lt;=$F18),1,""))</f>
        <v/>
      </c>
    </row>
    <row r="19" ht="15" customHeight="1" s="46">
      <c r="A19" t="inlineStr">
        <is>
          <t>2.3</t>
        </is>
      </c>
      <c r="B19" t="inlineStr">
        <is>
          <t>Phase 2</t>
        </is>
      </c>
      <c r="C19" t="inlineStr">
        <is>
          <t>Cybersécurité</t>
        </is>
      </c>
      <c r="D19" s="65">
        <f>ROUND(2*'2-Mon Projet'!$D$46,0)</f>
        <v/>
      </c>
      <c r="E19" s="65" t="n">
        <v>-1</v>
      </c>
      <c r="F19" s="65">
        <f>IF(OR($D19="-",$D19=""),"",$E19+ROUND($D19/4,0))</f>
        <v/>
      </c>
      <c r="G19" t="inlineStr">
        <is>
          <t>Non</t>
        </is>
      </c>
      <c r="H19" s="32">
        <f>IF(OR($D19="-",$D19=""),"",IF(AND(-6&gt;=$E19,-6&lt;=$F19),1,""))</f>
        <v/>
      </c>
      <c r="I19" s="32">
        <f>IF(OR($D19="-",$D19=""),"",IF(AND(-5&gt;=$E19,-5&lt;=$F19),1,""))</f>
        <v/>
      </c>
      <c r="J19" s="32">
        <f>IF(OR($D19="-",$D19=""),"",IF(AND(-4&gt;=$E19,-4&lt;=$F19),1,""))</f>
        <v/>
      </c>
      <c r="K19" s="32">
        <f>IF(OR($D19="-",$D19=""),"",IF(AND(-3&gt;=$E19,-3&lt;=$F19),1,""))</f>
        <v/>
      </c>
      <c r="L19" s="32">
        <f>IF(OR($D19="-",$D19=""),"",IF(AND(-2&gt;=$E19,-2&lt;=$F19),1,""))</f>
        <v/>
      </c>
      <c r="M19" s="223">
        <f>IF(OR($D19="-",$D19=""),"",IF(AND(-1&gt;=$E19,-1&lt;=$F19),1,""))</f>
        <v/>
      </c>
      <c r="N19" s="223">
        <f>IF(OR($D19="-",$D19=""),"",IF(AND(0&gt;=$E19,0&lt;=$F19),1,""))</f>
        <v/>
      </c>
      <c r="O19" s="32">
        <f>IF(OR($D19="-",$D19=""),"",IF(AND(1&gt;=$E19,1&lt;=$F19),1,""))</f>
        <v/>
      </c>
      <c r="P19" s="32">
        <f>IF(OR($D19="-",$D19=""),"",IF(AND(2&gt;=$E19,2&lt;=$F19),1,""))</f>
        <v/>
      </c>
      <c r="Q19" s="32">
        <f>IF(OR($D19="-",$D19=""),"",IF(AND(3&gt;=$E19,3&lt;=$F19),1,""))</f>
        <v/>
      </c>
      <c r="R19" s="32">
        <f>IF(OR($D19="-",$D19=""),"",IF(AND(4&gt;=$E19,4&lt;=$F19),1,""))</f>
        <v/>
      </c>
      <c r="S19" s="32">
        <f>IF(OR($D19="-",$D19=""),"",IF(AND(5&gt;=$E19,5&lt;=$F19),1,""))</f>
        <v/>
      </c>
      <c r="T19" s="32">
        <f>IF(OR($D19="-",$D19=""),"",IF(AND(6&gt;=$E19,6&lt;=$F19),1,""))</f>
        <v/>
      </c>
      <c r="U19" s="32">
        <f>IF(OR($D19="-",$D19=""),"",IF(AND(7&gt;=$E19,7&lt;=$F19),1,""))</f>
        <v/>
      </c>
      <c r="V19" s="32">
        <f>IF(OR($D19="-",$D19=""),"",IF(AND(8&gt;=$E19,8&lt;=$F19),1,""))</f>
        <v/>
      </c>
      <c r="W19" s="32">
        <f>IF(OR($D19="-",$D19=""),"",IF(AND(9&gt;=$E19,9&lt;=$F19),1,""))</f>
        <v/>
      </c>
      <c r="X19" s="32">
        <f>IF(OR($D19="-",$D19=""),"",IF(AND(10&gt;=$E19,10&lt;=$F19),1,""))</f>
        <v/>
      </c>
      <c r="Y19" s="32">
        <f>IF(OR($D19="-",$D19=""),"",IF(AND(11&gt;=$E19,11&lt;=$F19),1,""))</f>
        <v/>
      </c>
      <c r="Z19" s="32">
        <f>IF(OR($D19="-",$D19=""),"",IF(AND(12&gt;=$E19,12&lt;=$F19),1,""))</f>
        <v/>
      </c>
    </row>
    <row r="20" ht="15" customHeight="1" s="46">
      <c r="A20" t="inlineStr">
        <is>
          <t>2.4</t>
        </is>
      </c>
      <c r="B20" t="inlineStr">
        <is>
          <t>Phase 2</t>
        </is>
      </c>
      <c r="C20" t="inlineStr">
        <is>
          <t>Choix PA (ex-PDP) / portail e-facture / PA</t>
        </is>
      </c>
      <c r="D20" s="65">
        <f>ROUND(4*'2-Mon Projet'!$D$46,0)</f>
        <v/>
      </c>
      <c r="E20" s="65" t="n">
        <v>0</v>
      </c>
      <c r="F20" s="65">
        <f>IF(OR($D20="-",$D20=""),"",$E20+ROUND($D20/4,0))</f>
        <v/>
      </c>
      <c r="G20" t="inlineStr">
        <is>
          <t>OUI</t>
        </is>
      </c>
      <c r="H20" s="32">
        <f>IF(OR($D20="-",$D20=""),"",IF(AND(-6&gt;=$E20,-6&lt;=$F20),1,""))</f>
        <v/>
      </c>
      <c r="I20" s="32">
        <f>IF(OR($D20="-",$D20=""),"",IF(AND(-5&gt;=$E20,-5&lt;=$F20),1,""))</f>
        <v/>
      </c>
      <c r="J20" s="32">
        <f>IF(OR($D20="-",$D20=""),"",IF(AND(-4&gt;=$E20,-4&lt;=$F20),1,""))</f>
        <v/>
      </c>
      <c r="K20" s="32">
        <f>IF(OR($D20="-",$D20=""),"",IF(AND(-3&gt;=$E20,-3&lt;=$F20),1,""))</f>
        <v/>
      </c>
      <c r="L20" s="32">
        <f>IF(OR($D20="-",$D20=""),"",IF(AND(-2&gt;=$E20,-2&lt;=$F20),1,""))</f>
        <v/>
      </c>
      <c r="M20" s="32">
        <f>IF(OR($D20="-",$D20=""),"",IF(AND(-1&gt;=$E20,-1&lt;=$F20),1,""))</f>
        <v/>
      </c>
      <c r="N20" s="223">
        <f>IF(OR($D20="-",$D20=""),"",IF(AND(0&gt;=$E20,0&lt;=$F20),1,""))</f>
        <v/>
      </c>
      <c r="O20" s="223">
        <f>IF(OR($D20="-",$D20=""),"",IF(AND(1&gt;=$E20,1&lt;=$F20),1,""))</f>
        <v/>
      </c>
      <c r="P20" s="32">
        <f>IF(OR($D20="-",$D20=""),"",IF(AND(2&gt;=$E20,2&lt;=$F20),1,""))</f>
        <v/>
      </c>
      <c r="Q20" s="32">
        <f>IF(OR($D20="-",$D20=""),"",IF(AND(3&gt;=$E20,3&lt;=$F20),1,""))</f>
        <v/>
      </c>
      <c r="R20" s="32">
        <f>IF(OR($D20="-",$D20=""),"",IF(AND(4&gt;=$E20,4&lt;=$F20),1,""))</f>
        <v/>
      </c>
      <c r="S20" s="32">
        <f>IF(OR($D20="-",$D20=""),"",IF(AND(5&gt;=$E20,5&lt;=$F20),1,""))</f>
        <v/>
      </c>
      <c r="T20" s="32">
        <f>IF(OR($D20="-",$D20=""),"",IF(AND(6&gt;=$E20,6&lt;=$F20),1,""))</f>
        <v/>
      </c>
      <c r="U20" s="32">
        <f>IF(OR($D20="-",$D20=""),"",IF(AND(7&gt;=$E20,7&lt;=$F20),1,""))</f>
        <v/>
      </c>
      <c r="V20" s="32">
        <f>IF(OR($D20="-",$D20=""),"",IF(AND(8&gt;=$E20,8&lt;=$F20),1,""))</f>
        <v/>
      </c>
      <c r="W20" s="32">
        <f>IF(OR($D20="-",$D20=""),"",IF(AND(9&gt;=$E20,9&lt;=$F20),1,""))</f>
        <v/>
      </c>
      <c r="X20" s="32">
        <f>IF(OR($D20="-",$D20=""),"",IF(AND(10&gt;=$E20,10&lt;=$F20),1,""))</f>
        <v/>
      </c>
      <c r="Y20" s="32">
        <f>IF(OR($D20="-",$D20=""),"",IF(AND(11&gt;=$E20,11&lt;=$F20),1,""))</f>
        <v/>
      </c>
      <c r="Z20" s="32">
        <f>IF(OR($D20="-",$D20=""),"",IF(AND(12&gt;=$E20,12&lt;=$F20),1,""))</f>
        <v/>
      </c>
    </row>
    <row r="21" ht="15" customHeight="1" s="46">
      <c r="A21" s="31" t="n"/>
      <c r="B21" s="31" t="inlineStr">
        <is>
          <t>PHASE 3</t>
        </is>
      </c>
      <c r="C21" s="31" t="inlineStr">
        <is>
          <t>LANCEMENT M0-M+3</t>
        </is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</row>
    <row r="22" ht="15" customHeight="1" s="46">
      <c r="A22" t="inlineStr">
        <is>
          <t>3.1</t>
        </is>
      </c>
      <c r="B22" t="inlineStr">
        <is>
          <t>Phase 3</t>
        </is>
      </c>
      <c r="C22" t="inlineStr">
        <is>
          <t>Site web</t>
        </is>
      </c>
      <c r="D22" s="65">
        <f>4</f>
        <v/>
      </c>
      <c r="E22" s="65" t="n">
        <v>0</v>
      </c>
      <c r="F22" s="65">
        <f>IF(OR($D22="-",$D22=""),"",$E22+ROUND($D22/4,0))</f>
        <v/>
      </c>
      <c r="G22" t="inlineStr">
        <is>
          <t>Non</t>
        </is>
      </c>
      <c r="H22" s="32">
        <f>IF(OR($D22="-",$D22=""),"",IF(AND(-6&gt;=$E22,-6&lt;=$F22),1,""))</f>
        <v/>
      </c>
      <c r="I22" s="32">
        <f>IF(OR($D22="-",$D22=""),"",IF(AND(-5&gt;=$E22,-5&lt;=$F22),1,""))</f>
        <v/>
      </c>
      <c r="J22" s="32">
        <f>IF(OR($D22="-",$D22=""),"",IF(AND(-4&gt;=$E22,-4&lt;=$F22),1,""))</f>
        <v/>
      </c>
      <c r="K22" s="32">
        <f>IF(OR($D22="-",$D22=""),"",IF(AND(-3&gt;=$E22,-3&lt;=$F22),1,""))</f>
        <v/>
      </c>
      <c r="L22" s="32">
        <f>IF(OR($D22="-",$D22=""),"",IF(AND(-2&gt;=$E22,-2&lt;=$F22),1,""))</f>
        <v/>
      </c>
      <c r="M22" s="32">
        <f>IF(OR($D22="-",$D22=""),"",IF(AND(-1&gt;=$E22,-1&lt;=$F22),1,""))</f>
        <v/>
      </c>
      <c r="N22" s="224">
        <f>IF(OR($D22="-",$D22=""),"",IF(AND(0&gt;=$E22,0&lt;=$F22),1,""))</f>
        <v/>
      </c>
      <c r="O22" s="224">
        <f>IF(OR($D22="-",$D22=""),"",IF(AND(1&gt;=$E22,1&lt;=$F22),1,""))</f>
        <v/>
      </c>
      <c r="P22" s="32">
        <f>IF(OR($D22="-",$D22=""),"",IF(AND(2&gt;=$E22,2&lt;=$F22),1,""))</f>
        <v/>
      </c>
      <c r="Q22" s="32">
        <f>IF(OR($D22="-",$D22=""),"",IF(AND(3&gt;=$E22,3&lt;=$F22),1,""))</f>
        <v/>
      </c>
      <c r="R22" s="32">
        <f>IF(OR($D22="-",$D22=""),"",IF(AND(4&gt;=$E22,4&lt;=$F22),1,""))</f>
        <v/>
      </c>
      <c r="S22" s="32">
        <f>IF(OR($D22="-",$D22=""),"",IF(AND(5&gt;=$E22,5&lt;=$F22),1,""))</f>
        <v/>
      </c>
      <c r="T22" s="32">
        <f>IF(OR($D22="-",$D22=""),"",IF(AND(6&gt;=$E22,6&lt;=$F22),1,""))</f>
        <v/>
      </c>
      <c r="U22" s="32">
        <f>IF(OR($D22="-",$D22=""),"",IF(AND(7&gt;=$E22,7&lt;=$F22),1,""))</f>
        <v/>
      </c>
      <c r="V22" s="32">
        <f>IF(OR($D22="-",$D22=""),"",IF(AND(8&gt;=$E22,8&lt;=$F22),1,""))</f>
        <v/>
      </c>
      <c r="W22" s="32">
        <f>IF(OR($D22="-",$D22=""),"",IF(AND(9&gt;=$E22,9&lt;=$F22),1,""))</f>
        <v/>
      </c>
      <c r="X22" s="32">
        <f>IF(OR($D22="-",$D22=""),"",IF(AND(10&gt;=$E22,10&lt;=$F22),1,""))</f>
        <v/>
      </c>
      <c r="Y22" s="32">
        <f>IF(OR($D22="-",$D22=""),"",IF(AND(11&gt;=$E22,11&lt;=$F22),1,""))</f>
        <v/>
      </c>
      <c r="Z22" s="32">
        <f>IF(OR($D22="-",$D22=""),"",IF(AND(12&gt;=$E22,12&lt;=$F22),1,""))</f>
        <v/>
      </c>
    </row>
    <row r="23" ht="15" customHeight="1" s="46">
      <c r="A23" t="inlineStr">
        <is>
          <t>3.2</t>
        </is>
      </c>
      <c r="B23" t="inlineStr">
        <is>
          <t>Phase 3</t>
        </is>
      </c>
      <c r="C23" t="inlineStr">
        <is>
          <t>Onboarding</t>
        </is>
      </c>
      <c r="D23" s="65">
        <f>8</f>
        <v/>
      </c>
      <c r="E23" s="65" t="n">
        <v>1</v>
      </c>
      <c r="F23" s="65">
        <f>IF(OR($D23="-",$D23=""),"",$E23+ROUND($D23/4,0))</f>
        <v/>
      </c>
      <c r="G23" t="inlineStr">
        <is>
          <t>Non</t>
        </is>
      </c>
      <c r="H23" s="32">
        <f>IF(OR($D23="-",$D23=""),"",IF(AND(-6&gt;=$E23,-6&lt;=$F23),1,""))</f>
        <v/>
      </c>
      <c r="I23" s="32">
        <f>IF(OR($D23="-",$D23=""),"",IF(AND(-5&gt;=$E23,-5&lt;=$F23),1,""))</f>
        <v/>
      </c>
      <c r="J23" s="32">
        <f>IF(OR($D23="-",$D23=""),"",IF(AND(-4&gt;=$E23,-4&lt;=$F23),1,""))</f>
        <v/>
      </c>
      <c r="K23" s="32">
        <f>IF(OR($D23="-",$D23=""),"",IF(AND(-3&gt;=$E23,-3&lt;=$F23),1,""))</f>
        <v/>
      </c>
      <c r="L23" s="32">
        <f>IF(OR($D23="-",$D23=""),"",IF(AND(-2&gt;=$E23,-2&lt;=$F23),1,""))</f>
        <v/>
      </c>
      <c r="M23" s="32">
        <f>IF(OR($D23="-",$D23=""),"",IF(AND(-1&gt;=$E23,-1&lt;=$F23),1,""))</f>
        <v/>
      </c>
      <c r="N23" s="32">
        <f>IF(OR($D23="-",$D23=""),"",IF(AND(0&gt;=$E23,0&lt;=$F23),1,""))</f>
        <v/>
      </c>
      <c r="O23" s="224">
        <f>IF(OR($D23="-",$D23=""),"",IF(AND(1&gt;=$E23,1&lt;=$F23),1,""))</f>
        <v/>
      </c>
      <c r="P23" s="224">
        <f>IF(OR($D23="-",$D23=""),"",IF(AND(2&gt;=$E23,2&lt;=$F23),1,""))</f>
        <v/>
      </c>
      <c r="Q23" s="224">
        <f>IF(OR($D23="-",$D23=""),"",IF(AND(3&gt;=$E23,3&lt;=$F23),1,""))</f>
        <v/>
      </c>
      <c r="R23" s="32">
        <f>IF(OR($D23="-",$D23=""),"",IF(AND(4&gt;=$E23,4&lt;=$F23),1,""))</f>
        <v/>
      </c>
      <c r="S23" s="32">
        <f>IF(OR($D23="-",$D23=""),"",IF(AND(5&gt;=$E23,5&lt;=$F23),1,""))</f>
        <v/>
      </c>
      <c r="T23" s="32">
        <f>IF(OR($D23="-",$D23=""),"",IF(AND(6&gt;=$E23,6&lt;=$F23),1,""))</f>
        <v/>
      </c>
      <c r="U23" s="32">
        <f>IF(OR($D23="-",$D23=""),"",IF(AND(7&gt;=$E23,7&lt;=$F23),1,""))</f>
        <v/>
      </c>
      <c r="V23" s="32">
        <f>IF(OR($D23="-",$D23=""),"",IF(AND(8&gt;=$E23,8&lt;=$F23),1,""))</f>
        <v/>
      </c>
      <c r="W23" s="32">
        <f>IF(OR($D23="-",$D23=""),"",IF(AND(9&gt;=$E23,9&lt;=$F23),1,""))</f>
        <v/>
      </c>
      <c r="X23" s="32">
        <f>IF(OR($D23="-",$D23=""),"",IF(AND(10&gt;=$E23,10&lt;=$F23),1,""))</f>
        <v/>
      </c>
      <c r="Y23" s="32">
        <f>IF(OR($D23="-",$D23=""),"",IF(AND(11&gt;=$E23,11&lt;=$F23),1,""))</f>
        <v/>
      </c>
      <c r="Z23" s="32">
        <f>IF(OR($D23="-",$D23=""),"",IF(AND(12&gt;=$E23,12&lt;=$F23),1,""))</f>
        <v/>
      </c>
    </row>
    <row r="24" ht="15" customHeight="1" s="46">
      <c r="A24" t="inlineStr">
        <is>
          <t>3.3</t>
        </is>
      </c>
      <c r="B24" t="inlineStr">
        <is>
          <t>Phase 3</t>
        </is>
      </c>
      <c r="C24" t="inlineStr">
        <is>
          <t>Process std</t>
        </is>
      </c>
      <c r="D24" s="65">
        <f>4</f>
        <v/>
      </c>
      <c r="E24" s="65" t="n">
        <v>3</v>
      </c>
      <c r="F24" s="65">
        <f>IF(OR($D24="-",$D24=""),"",$E24+ROUND($D24/4,0))</f>
        <v/>
      </c>
      <c r="G24" t="inlineStr">
        <is>
          <t>Non</t>
        </is>
      </c>
      <c r="H24" s="32">
        <f>IF(OR($D24="-",$D24=""),"",IF(AND(-6&gt;=$E24,-6&lt;=$F24),1,""))</f>
        <v/>
      </c>
      <c r="I24" s="32">
        <f>IF(OR($D24="-",$D24=""),"",IF(AND(-5&gt;=$E24,-5&lt;=$F24),1,""))</f>
        <v/>
      </c>
      <c r="J24" s="32">
        <f>IF(OR($D24="-",$D24=""),"",IF(AND(-4&gt;=$E24,-4&lt;=$F24),1,""))</f>
        <v/>
      </c>
      <c r="K24" s="32">
        <f>IF(OR($D24="-",$D24=""),"",IF(AND(-3&gt;=$E24,-3&lt;=$F24),1,""))</f>
        <v/>
      </c>
      <c r="L24" s="32">
        <f>IF(OR($D24="-",$D24=""),"",IF(AND(-2&gt;=$E24,-2&lt;=$F24),1,""))</f>
        <v/>
      </c>
      <c r="M24" s="32">
        <f>IF(OR($D24="-",$D24=""),"",IF(AND(-1&gt;=$E24,-1&lt;=$F24),1,""))</f>
        <v/>
      </c>
      <c r="N24" s="32">
        <f>IF(OR($D24="-",$D24=""),"",IF(AND(0&gt;=$E24,0&lt;=$F24),1,""))</f>
        <v/>
      </c>
      <c r="O24" s="32">
        <f>IF(OR($D24="-",$D24=""),"",IF(AND(1&gt;=$E24,1&lt;=$F24),1,""))</f>
        <v/>
      </c>
      <c r="P24" s="32">
        <f>IF(OR($D24="-",$D24=""),"",IF(AND(2&gt;=$E24,2&lt;=$F24),1,""))</f>
        <v/>
      </c>
      <c r="Q24" s="224">
        <f>IF(OR($D24="-",$D24=""),"",IF(AND(3&gt;=$E24,3&lt;=$F24),1,""))</f>
        <v/>
      </c>
      <c r="R24" s="224">
        <f>IF(OR($D24="-",$D24=""),"",IF(AND(4&gt;=$E24,4&lt;=$F24),1,""))</f>
        <v/>
      </c>
      <c r="S24" s="32">
        <f>IF(OR($D24="-",$D24=""),"",IF(AND(5&gt;=$E24,5&lt;=$F24),1,""))</f>
        <v/>
      </c>
      <c r="T24" s="32">
        <f>IF(OR($D24="-",$D24=""),"",IF(AND(6&gt;=$E24,6&lt;=$F24),1,""))</f>
        <v/>
      </c>
      <c r="U24" s="32">
        <f>IF(OR($D24="-",$D24=""),"",IF(AND(7&gt;=$E24,7&lt;=$F24),1,""))</f>
        <v/>
      </c>
      <c r="V24" s="32">
        <f>IF(OR($D24="-",$D24=""),"",IF(AND(8&gt;=$E24,8&lt;=$F24),1,""))</f>
        <v/>
      </c>
      <c r="W24" s="32">
        <f>IF(OR($D24="-",$D24=""),"",IF(AND(9&gt;=$E24,9&lt;=$F24),1,""))</f>
        <v/>
      </c>
      <c r="X24" s="32">
        <f>IF(OR($D24="-",$D24=""),"",IF(AND(10&gt;=$E24,10&lt;=$F24),1,""))</f>
        <v/>
      </c>
      <c r="Y24" s="32">
        <f>IF(OR($D24="-",$D24=""),"",IF(AND(11&gt;=$E24,11&lt;=$F24),1,""))</f>
        <v/>
      </c>
      <c r="Z24" s="32">
        <f>IF(OR($D24="-",$D24=""),"",IF(AND(12&gt;=$E24,12&lt;=$F24),1,""))</f>
        <v/>
      </c>
    </row>
    <row r="25" ht="15" customHeight="1" s="46">
      <c r="A25" s="31" t="n"/>
      <c r="B25" s="31" t="inlineStr">
        <is>
          <t>PHASE 4</t>
        </is>
      </c>
      <c r="C25" s="31" t="inlineStr">
        <is>
          <t>INDUSTRIALISATION M+3-M+6</t>
        </is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 ht="15" customHeight="1" s="46">
      <c r="A26" t="inlineStr">
        <is>
          <t>4.1</t>
        </is>
      </c>
      <c r="B26" t="inlineStr">
        <is>
          <t>Phase 4</t>
        </is>
      </c>
      <c r="C26" t="inlineStr">
        <is>
          <t>Dev clients</t>
        </is>
      </c>
      <c r="D26" s="65">
        <f>ROUND(12*'2-Mon Projet'!$D$44,0)</f>
        <v/>
      </c>
      <c r="E26" s="65" t="n">
        <v>3</v>
      </c>
      <c r="F26" s="65">
        <f>IF(OR($D26="-",$D26=""),"",$E26+ROUND($D26/4,0))</f>
        <v/>
      </c>
      <c r="G26" t="inlineStr">
        <is>
          <t>OUI</t>
        </is>
      </c>
      <c r="H26" s="32">
        <f>IF(OR($D26="-",$D26=""),"",IF(AND(-6&gt;=$E26,-6&lt;=$F26),1,""))</f>
        <v/>
      </c>
      <c r="I26" s="32">
        <f>IF(OR($D26="-",$D26=""),"",IF(AND(-5&gt;=$E26,-5&lt;=$F26),1,""))</f>
        <v/>
      </c>
      <c r="J26" s="32">
        <f>IF(OR($D26="-",$D26=""),"",IF(AND(-4&gt;=$E26,-4&lt;=$F26),1,""))</f>
        <v/>
      </c>
      <c r="K26" s="32">
        <f>IF(OR($D26="-",$D26=""),"",IF(AND(-3&gt;=$E26,-3&lt;=$F26),1,""))</f>
        <v/>
      </c>
      <c r="L26" s="32">
        <f>IF(OR($D26="-",$D26=""),"",IF(AND(-2&gt;=$E26,-2&lt;=$F26),1,""))</f>
        <v/>
      </c>
      <c r="M26" s="32">
        <f>IF(OR($D26="-",$D26=""),"",IF(AND(-1&gt;=$E26,-1&lt;=$F26),1,""))</f>
        <v/>
      </c>
      <c r="N26" s="32">
        <f>IF(OR($D26="-",$D26=""),"",IF(AND(0&gt;=$E26,0&lt;=$F26),1,""))</f>
        <v/>
      </c>
      <c r="O26" s="32">
        <f>IF(OR($D26="-",$D26=""),"",IF(AND(1&gt;=$E26,1&lt;=$F26),1,""))</f>
        <v/>
      </c>
      <c r="P26" s="32">
        <f>IF(OR($D26="-",$D26=""),"",IF(AND(2&gt;=$E26,2&lt;=$F26),1,""))</f>
        <v/>
      </c>
      <c r="Q26" s="225">
        <f>IF(OR($D26="-",$D26=""),"",IF(AND(3&gt;=$E26,3&lt;=$F26),1,""))</f>
        <v/>
      </c>
      <c r="R26" s="225">
        <f>IF(OR($D26="-",$D26=""),"",IF(AND(4&gt;=$E26,4&lt;=$F26),1,""))</f>
        <v/>
      </c>
      <c r="S26" s="32">
        <f>IF(OR($D26="-",$D26=""),"",IF(AND(5&gt;=$E26,5&lt;=$F26),1,""))</f>
        <v/>
      </c>
      <c r="T26" s="32">
        <f>IF(OR($D26="-",$D26=""),"",IF(AND(6&gt;=$E26,6&lt;=$F26),1,""))</f>
        <v/>
      </c>
      <c r="U26" s="32">
        <f>IF(OR($D26="-",$D26=""),"",IF(AND(7&gt;=$E26,7&lt;=$F26),1,""))</f>
        <v/>
      </c>
      <c r="V26" s="32">
        <f>IF(OR($D26="-",$D26=""),"",IF(AND(8&gt;=$E26,8&lt;=$F26),1,""))</f>
        <v/>
      </c>
      <c r="W26" s="32">
        <f>IF(OR($D26="-",$D26=""),"",IF(AND(9&gt;=$E26,9&lt;=$F26),1,""))</f>
        <v/>
      </c>
      <c r="X26" s="32">
        <f>IF(OR($D26="-",$D26=""),"",IF(AND(10&gt;=$E26,10&lt;=$F26),1,""))</f>
        <v/>
      </c>
      <c r="Y26" s="32">
        <f>IF(OR($D26="-",$D26=""),"",IF(AND(11&gt;=$E26,11&lt;=$F26),1,""))</f>
        <v/>
      </c>
      <c r="Z26" s="32">
        <f>IF(OR($D26="-",$D26=""),"",IF(AND(12&gt;=$E26,12&lt;=$F26),1,""))</f>
        <v/>
      </c>
    </row>
    <row r="27" ht="15" customHeight="1" s="46">
      <c r="A27" t="inlineStr">
        <is>
          <t>4.2</t>
        </is>
      </c>
      <c r="B27" t="inlineStr">
        <is>
          <t>Phase 4</t>
        </is>
      </c>
      <c r="C27" t="inlineStr">
        <is>
          <t>Automatisations</t>
        </is>
      </c>
      <c r="D27" s="65">
        <f>ROUND(4*'2-Mon Projet'!$D$46,0)</f>
        <v/>
      </c>
      <c r="E27" s="65" t="n">
        <v>4</v>
      </c>
      <c r="F27" s="65">
        <f>IF(OR($D27="-",$D27=""),"",$E27+ROUND($D27/4,0))</f>
        <v/>
      </c>
      <c r="G27" t="inlineStr">
        <is>
          <t>Non</t>
        </is>
      </c>
      <c r="H27" s="32">
        <f>IF(OR($D27="-",$D27=""),"",IF(AND(-6&gt;=$E27,-6&lt;=$F27),1,""))</f>
        <v/>
      </c>
      <c r="I27" s="32">
        <f>IF(OR($D27="-",$D27=""),"",IF(AND(-5&gt;=$E27,-5&lt;=$F27),1,""))</f>
        <v/>
      </c>
      <c r="J27" s="32">
        <f>IF(OR($D27="-",$D27=""),"",IF(AND(-4&gt;=$E27,-4&lt;=$F27),1,""))</f>
        <v/>
      </c>
      <c r="K27" s="32">
        <f>IF(OR($D27="-",$D27=""),"",IF(AND(-3&gt;=$E27,-3&lt;=$F27),1,""))</f>
        <v/>
      </c>
      <c r="L27" s="32">
        <f>IF(OR($D27="-",$D27=""),"",IF(AND(-2&gt;=$E27,-2&lt;=$F27),1,""))</f>
        <v/>
      </c>
      <c r="M27" s="32">
        <f>IF(OR($D27="-",$D27=""),"",IF(AND(-1&gt;=$E27,-1&lt;=$F27),1,""))</f>
        <v/>
      </c>
      <c r="N27" s="32">
        <f>IF(OR($D27="-",$D27=""),"",IF(AND(0&gt;=$E27,0&lt;=$F27),1,""))</f>
        <v/>
      </c>
      <c r="O27" s="32">
        <f>IF(OR($D27="-",$D27=""),"",IF(AND(1&gt;=$E27,1&lt;=$F27),1,""))</f>
        <v/>
      </c>
      <c r="P27" s="32">
        <f>IF(OR($D27="-",$D27=""),"",IF(AND(2&gt;=$E27,2&lt;=$F27),1,""))</f>
        <v/>
      </c>
      <c r="Q27" s="32">
        <f>IF(OR($D27="-",$D27=""),"",IF(AND(3&gt;=$E27,3&lt;=$F27),1,""))</f>
        <v/>
      </c>
      <c r="R27" s="225">
        <f>IF(OR($D27="-",$D27=""),"",IF(AND(4&gt;=$E27,4&lt;=$F27),1,""))</f>
        <v/>
      </c>
      <c r="S27" s="225">
        <f>IF(OR($D27="-",$D27=""),"",IF(AND(5&gt;=$E27,5&lt;=$F27),1,""))</f>
        <v/>
      </c>
      <c r="T27" s="32">
        <f>IF(OR($D27="-",$D27=""),"",IF(AND(6&gt;=$E27,6&lt;=$F27),1,""))</f>
        <v/>
      </c>
      <c r="U27" s="32">
        <f>IF(OR($D27="-",$D27=""),"",IF(AND(7&gt;=$E27,7&lt;=$F27),1,""))</f>
        <v/>
      </c>
      <c r="V27" s="32">
        <f>IF(OR($D27="-",$D27=""),"",IF(AND(8&gt;=$E27,8&lt;=$F27),1,""))</f>
        <v/>
      </c>
      <c r="W27" s="32">
        <f>IF(OR($D27="-",$D27=""),"",IF(AND(9&gt;=$E27,9&lt;=$F27),1,""))</f>
        <v/>
      </c>
      <c r="X27" s="32">
        <f>IF(OR($D27="-",$D27=""),"",IF(AND(10&gt;=$E27,10&lt;=$F27),1,""))</f>
        <v/>
      </c>
      <c r="Y27" s="32">
        <f>IF(OR($D27="-",$D27=""),"",IF(AND(11&gt;=$E27,11&lt;=$F27),1,""))</f>
        <v/>
      </c>
      <c r="Z27" s="32">
        <f>IF(OR($D27="-",$D27=""),"",IF(AND(12&gt;=$E27,12&lt;=$F27),1,""))</f>
        <v/>
      </c>
    </row>
    <row r="28" ht="15" customHeight="1" s="46">
      <c r="A28" t="inlineStr">
        <is>
          <t>4.3</t>
        </is>
      </c>
      <c r="B28" t="inlineStr">
        <is>
          <t>Phase 4</t>
        </is>
      </c>
      <c r="C28" t="inlineStr">
        <is>
          <t>Audit Cyber</t>
        </is>
      </c>
      <c r="D28" s="65">
        <f>2</f>
        <v/>
      </c>
      <c r="E28" s="65" t="n">
        <v>4</v>
      </c>
      <c r="F28" s="65">
        <f>IF(OR($D28="-",$D28=""),"",$E28+ROUND($D28/4,0))</f>
        <v/>
      </c>
      <c r="G28" t="inlineStr">
        <is>
          <t>Non</t>
        </is>
      </c>
      <c r="H28" s="32">
        <f>IF(OR($D28="-",$D28=""),"",IF(AND(-6&gt;=$E28,-6&lt;=$F28),1,""))</f>
        <v/>
      </c>
      <c r="I28" s="32">
        <f>IF(OR($D28="-",$D28=""),"",IF(AND(-5&gt;=$E28,-5&lt;=$F28),1,""))</f>
        <v/>
      </c>
      <c r="J28" s="32">
        <f>IF(OR($D28="-",$D28=""),"",IF(AND(-4&gt;=$E28,-4&lt;=$F28),1,""))</f>
        <v/>
      </c>
      <c r="K28" s="32">
        <f>IF(OR($D28="-",$D28=""),"",IF(AND(-3&gt;=$E28,-3&lt;=$F28),1,""))</f>
        <v/>
      </c>
      <c r="L28" s="32">
        <f>IF(OR($D28="-",$D28=""),"",IF(AND(-2&gt;=$E28,-2&lt;=$F28),1,""))</f>
        <v/>
      </c>
      <c r="M28" s="32">
        <f>IF(OR($D28="-",$D28=""),"",IF(AND(-1&gt;=$E28,-1&lt;=$F28),1,""))</f>
        <v/>
      </c>
      <c r="N28" s="32">
        <f>IF(OR($D28="-",$D28=""),"",IF(AND(0&gt;=$E28,0&lt;=$F28),1,""))</f>
        <v/>
      </c>
      <c r="O28" s="32">
        <f>IF(OR($D28="-",$D28=""),"",IF(AND(1&gt;=$E28,1&lt;=$F28),1,""))</f>
        <v/>
      </c>
      <c r="P28" s="32">
        <f>IF(OR($D28="-",$D28=""),"",IF(AND(2&gt;=$E28,2&lt;=$F28),1,""))</f>
        <v/>
      </c>
      <c r="Q28" s="32">
        <f>IF(OR($D28="-",$D28=""),"",IF(AND(3&gt;=$E28,3&lt;=$F28),1,""))</f>
        <v/>
      </c>
      <c r="R28" s="225">
        <f>IF(OR($D28="-",$D28=""),"",IF(AND(4&gt;=$E28,4&lt;=$F28),1,""))</f>
        <v/>
      </c>
      <c r="S28" s="225">
        <f>IF(OR($D28="-",$D28=""),"",IF(AND(5&gt;=$E28,5&lt;=$F28),1,""))</f>
        <v/>
      </c>
      <c r="T28" s="32">
        <f>IF(OR($D28="-",$D28=""),"",IF(AND(6&gt;=$E28,6&lt;=$F28),1,""))</f>
        <v/>
      </c>
      <c r="U28" s="32">
        <f>IF(OR($D28="-",$D28=""),"",IF(AND(7&gt;=$E28,7&lt;=$F28),1,""))</f>
        <v/>
      </c>
      <c r="V28" s="32">
        <f>IF(OR($D28="-",$D28=""),"",IF(AND(8&gt;=$E28,8&lt;=$F28),1,""))</f>
        <v/>
      </c>
      <c r="W28" s="32">
        <f>IF(OR($D28="-",$D28=""),"",IF(AND(9&gt;=$E28,9&lt;=$F28),1,""))</f>
        <v/>
      </c>
      <c r="X28" s="32">
        <f>IF(OR($D28="-",$D28=""),"",IF(AND(10&gt;=$E28,10&lt;=$F28),1,""))</f>
        <v/>
      </c>
      <c r="Y28" s="32">
        <f>IF(OR($D28="-",$D28=""),"",IF(AND(11&gt;=$E28,11&lt;=$F28),1,""))</f>
        <v/>
      </c>
      <c r="Z28" s="32">
        <f>IF(OR($D28="-",$D28=""),"",IF(AND(12&gt;=$E28,12&lt;=$F28),1,""))</f>
        <v/>
      </c>
    </row>
    <row r="29" ht="15" customHeight="1" s="46">
      <c r="A29" t="inlineStr">
        <is>
          <t>4.4</t>
        </is>
      </c>
      <c r="B29" t="inlineStr">
        <is>
          <t>Phase 4</t>
        </is>
      </c>
      <c r="C29" t="inlineStr">
        <is>
          <t>Offre Conseil e-facture</t>
        </is>
      </c>
      <c r="D29" s="65">
        <f>8</f>
        <v/>
      </c>
      <c r="E29" s="65" t="n">
        <v>4</v>
      </c>
      <c r="F29" s="65">
        <f>IF(OR($D29="-",$D29=""),"",$E29+ROUND($D29/4,0))</f>
        <v/>
      </c>
      <c r="G29" t="inlineStr">
        <is>
          <t>Non</t>
        </is>
      </c>
      <c r="H29" s="32">
        <f>IF(OR($D29="-",$D29=""),"",IF(AND(-6&gt;=$E29,-6&lt;=$F29),1,""))</f>
        <v/>
      </c>
      <c r="I29" s="32">
        <f>IF(OR($D29="-",$D29=""),"",IF(AND(-5&gt;=$E29,-5&lt;=$F29),1,""))</f>
        <v/>
      </c>
      <c r="J29" s="32">
        <f>IF(OR($D29="-",$D29=""),"",IF(AND(-4&gt;=$E29,-4&lt;=$F29),1,""))</f>
        <v/>
      </c>
      <c r="K29" s="32">
        <f>IF(OR($D29="-",$D29=""),"",IF(AND(-3&gt;=$E29,-3&lt;=$F29),1,""))</f>
        <v/>
      </c>
      <c r="L29" s="32">
        <f>IF(OR($D29="-",$D29=""),"",IF(AND(-2&gt;=$E29,-2&lt;=$F29),1,""))</f>
        <v/>
      </c>
      <c r="M29" s="32">
        <f>IF(OR($D29="-",$D29=""),"",IF(AND(-1&gt;=$E29,-1&lt;=$F29),1,""))</f>
        <v/>
      </c>
      <c r="N29" s="32">
        <f>IF(OR($D29="-",$D29=""),"",IF(AND(0&gt;=$E29,0&lt;=$F29),1,""))</f>
        <v/>
      </c>
      <c r="O29" s="32">
        <f>IF(OR($D29="-",$D29=""),"",IF(AND(1&gt;=$E29,1&lt;=$F29),1,""))</f>
        <v/>
      </c>
      <c r="P29" s="32">
        <f>IF(OR($D29="-",$D29=""),"",IF(AND(2&gt;=$E29,2&lt;=$F29),1,""))</f>
        <v/>
      </c>
      <c r="Q29" s="32">
        <f>IF(OR($D29="-",$D29=""),"",IF(AND(3&gt;=$E29,3&lt;=$F29),1,""))</f>
        <v/>
      </c>
      <c r="R29" s="225">
        <f>IF(OR($D29="-",$D29=""),"",IF(AND(4&gt;=$E29,4&lt;=$F29),1,""))</f>
        <v/>
      </c>
      <c r="S29" s="225">
        <f>IF(OR($D29="-",$D29=""),"",IF(AND(5&gt;=$E29,5&lt;=$F29),1,""))</f>
        <v/>
      </c>
      <c r="T29" s="225">
        <f>IF(OR($D29="-",$D29=""),"",IF(AND(6&gt;=$E29,6&lt;=$F29),1,""))</f>
        <v/>
      </c>
      <c r="U29" s="32">
        <f>IF(OR($D29="-",$D29=""),"",IF(AND(7&gt;=$E29,7&lt;=$F29),1,""))</f>
        <v/>
      </c>
      <c r="V29" s="32">
        <f>IF(OR($D29="-",$D29=""),"",IF(AND(8&gt;=$E29,8&lt;=$F29),1,""))</f>
        <v/>
      </c>
      <c r="W29" s="32">
        <f>IF(OR($D29="-",$D29=""),"",IF(AND(9&gt;=$E29,9&lt;=$F29),1,""))</f>
        <v/>
      </c>
      <c r="X29" s="32">
        <f>IF(OR($D29="-",$D29=""),"",IF(AND(10&gt;=$E29,10&lt;=$F29),1,""))</f>
        <v/>
      </c>
      <c r="Y29" s="32">
        <f>IF(OR($D29="-",$D29=""),"",IF(AND(11&gt;=$E29,11&lt;=$F29),1,""))</f>
        <v/>
      </c>
      <c r="Z29" s="32">
        <f>IF(OR($D29="-",$D29=""),"",IF(AND(12&gt;=$E29,12&lt;=$F29),1,""))</f>
        <v/>
      </c>
    </row>
    <row r="30" ht="15" customHeight="1" s="46">
      <c r="A30" s="31" t="n"/>
      <c r="B30" s="31" t="inlineStr">
        <is>
          <t>PHASE 5</t>
        </is>
      </c>
      <c r="C30" s="31" t="inlineStr">
        <is>
          <t>STRUCTURATION M+6-M+12</t>
        </is>
      </c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 ht="15" customHeight="1" s="46">
      <c r="A31" t="inlineStr">
        <is>
          <t>5.1</t>
        </is>
      </c>
      <c r="B31" t="inlineStr">
        <is>
          <t>Phase 5</t>
        </is>
      </c>
      <c r="C31" t="inlineStr">
        <is>
          <t>Recrutement</t>
        </is>
      </c>
      <c r="D31" s="65">
        <f>IF('2-Mon Projet'!$D$26=0,"-",10)</f>
        <v/>
      </c>
      <c r="E31" s="65" t="n">
        <v>6</v>
      </c>
      <c r="F31" s="65">
        <f>IF(OR($D31="-",$D31=""),"",$E31+ROUND($D31/4,0))</f>
        <v/>
      </c>
      <c r="G31" t="inlineStr">
        <is>
          <t>OUI</t>
        </is>
      </c>
      <c r="H31" s="32">
        <f>IF(OR($D31="-",$D31=""),"",IF(AND(-6&gt;=$E31,-6&lt;=$F31),1,""))</f>
        <v/>
      </c>
      <c r="I31" s="32">
        <f>IF(OR($D31="-",$D31=""),"",IF(AND(-5&gt;=$E31,-5&lt;=$F31),1,""))</f>
        <v/>
      </c>
      <c r="J31" s="32">
        <f>IF(OR($D31="-",$D31=""),"",IF(AND(-4&gt;=$E31,-4&lt;=$F31),1,""))</f>
        <v/>
      </c>
      <c r="K31" s="32">
        <f>IF(OR($D31="-",$D31=""),"",IF(AND(-3&gt;=$E31,-3&lt;=$F31),1,""))</f>
        <v/>
      </c>
      <c r="L31" s="32">
        <f>IF(OR($D31="-",$D31=""),"",IF(AND(-2&gt;=$E31,-2&lt;=$F31),1,""))</f>
        <v/>
      </c>
      <c r="M31" s="32">
        <f>IF(OR($D31="-",$D31=""),"",IF(AND(-1&gt;=$E31,-1&lt;=$F31),1,""))</f>
        <v/>
      </c>
      <c r="N31" s="32">
        <f>IF(OR($D31="-",$D31=""),"",IF(AND(0&gt;=$E31,0&lt;=$F31),1,""))</f>
        <v/>
      </c>
      <c r="O31" s="32">
        <f>IF(OR($D31="-",$D31=""),"",IF(AND(1&gt;=$E31,1&lt;=$F31),1,""))</f>
        <v/>
      </c>
      <c r="P31" s="32">
        <f>IF(OR($D31="-",$D31=""),"",IF(AND(2&gt;=$E31,2&lt;=$F31),1,""))</f>
        <v/>
      </c>
      <c r="Q31" s="32">
        <f>IF(OR($D31="-",$D31=""),"",IF(AND(3&gt;=$E31,3&lt;=$F31),1,""))</f>
        <v/>
      </c>
      <c r="R31" s="32">
        <f>IF(OR($D31="-",$D31=""),"",IF(AND(4&gt;=$E31,4&lt;=$F31),1,""))</f>
        <v/>
      </c>
      <c r="S31" s="32">
        <f>IF(OR($D31="-",$D31=""),"",IF(AND(5&gt;=$E31,5&lt;=$F31),1,""))</f>
        <v/>
      </c>
      <c r="T31" s="226">
        <f>IF(OR($D31="-",$D31=""),"",IF(AND(6&gt;=$E31,6&lt;=$F31),1,""))</f>
        <v/>
      </c>
      <c r="U31" s="226">
        <f>IF(OR($D31="-",$D31=""),"",IF(AND(7&gt;=$E31,7&lt;=$F31),1,""))</f>
        <v/>
      </c>
      <c r="V31" s="32">
        <f>IF(OR($D31="-",$D31=""),"",IF(AND(8&gt;=$E31,8&lt;=$F31),1,""))</f>
        <v/>
      </c>
      <c r="W31" s="32">
        <f>IF(OR($D31="-",$D31=""),"",IF(AND(9&gt;=$E31,9&lt;=$F31),1,""))</f>
        <v/>
      </c>
      <c r="X31" s="32">
        <f>IF(OR($D31="-",$D31=""),"",IF(AND(10&gt;=$E31,10&lt;=$F31),1,""))</f>
        <v/>
      </c>
      <c r="Y31" s="32">
        <f>IF(OR($D31="-",$D31=""),"",IF(AND(11&gt;=$E31,11&lt;=$F31),1,""))</f>
        <v/>
      </c>
      <c r="Z31" s="32">
        <f>IF(OR($D31="-",$D31=""),"",IF(AND(12&gt;=$E31,12&lt;=$F31),1,""))</f>
        <v/>
      </c>
    </row>
    <row r="32" ht="15" customHeight="1" s="46">
      <c r="A32" t="inlineStr">
        <is>
          <t>5.2</t>
        </is>
      </c>
      <c r="B32" t="inlineStr">
        <is>
          <t>Phase 5</t>
        </is>
      </c>
      <c r="C32" t="inlineStr">
        <is>
          <t>Integration</t>
        </is>
      </c>
      <c r="D32" s="65">
        <f>IF('2-Mon Projet'!$D$26=0,"-",4)</f>
        <v/>
      </c>
      <c r="E32" s="65" t="n">
        <v>8</v>
      </c>
      <c r="F32" s="65">
        <f>IF(OR($D32="-",$D32=""),"",$E32+ROUND($D32/4,0))</f>
        <v/>
      </c>
      <c r="G32" t="inlineStr">
        <is>
          <t>Non</t>
        </is>
      </c>
      <c r="H32" s="32">
        <f>IF(OR($D32="-",$D32=""),"",IF(AND(-6&gt;=$E32,-6&lt;=$F32),1,""))</f>
        <v/>
      </c>
      <c r="I32" s="32">
        <f>IF(OR($D32="-",$D32=""),"",IF(AND(-5&gt;=$E32,-5&lt;=$F32),1,""))</f>
        <v/>
      </c>
      <c r="J32" s="32">
        <f>IF(OR($D32="-",$D32=""),"",IF(AND(-4&gt;=$E32,-4&lt;=$F32),1,""))</f>
        <v/>
      </c>
      <c r="K32" s="32">
        <f>IF(OR($D32="-",$D32=""),"",IF(AND(-3&gt;=$E32,-3&lt;=$F32),1,""))</f>
        <v/>
      </c>
      <c r="L32" s="32">
        <f>IF(OR($D32="-",$D32=""),"",IF(AND(-2&gt;=$E32,-2&lt;=$F32),1,""))</f>
        <v/>
      </c>
      <c r="M32" s="32">
        <f>IF(OR($D32="-",$D32=""),"",IF(AND(-1&gt;=$E32,-1&lt;=$F32),1,""))</f>
        <v/>
      </c>
      <c r="N32" s="32">
        <f>IF(OR($D32="-",$D32=""),"",IF(AND(0&gt;=$E32,0&lt;=$F32),1,""))</f>
        <v/>
      </c>
      <c r="O32" s="32">
        <f>IF(OR($D32="-",$D32=""),"",IF(AND(1&gt;=$E32,1&lt;=$F32),1,""))</f>
        <v/>
      </c>
      <c r="P32" s="32">
        <f>IF(OR($D32="-",$D32=""),"",IF(AND(2&gt;=$E32,2&lt;=$F32),1,""))</f>
        <v/>
      </c>
      <c r="Q32" s="32">
        <f>IF(OR($D32="-",$D32=""),"",IF(AND(3&gt;=$E32,3&lt;=$F32),1,""))</f>
        <v/>
      </c>
      <c r="R32" s="32">
        <f>IF(OR($D32="-",$D32=""),"",IF(AND(4&gt;=$E32,4&lt;=$F32),1,""))</f>
        <v/>
      </c>
      <c r="S32" s="32">
        <f>IF(OR($D32="-",$D32=""),"",IF(AND(5&gt;=$E32,5&lt;=$F32),1,""))</f>
        <v/>
      </c>
      <c r="T32" s="32">
        <f>IF(OR($D32="-",$D32=""),"",IF(AND(6&gt;=$E32,6&lt;=$F32),1,""))</f>
        <v/>
      </c>
      <c r="U32" s="32">
        <f>IF(OR($D32="-",$D32=""),"",IF(AND(7&gt;=$E32,7&lt;=$F32),1,""))</f>
        <v/>
      </c>
      <c r="V32" s="226">
        <f>IF(OR($D32="-",$D32=""),"",IF(AND(8&gt;=$E32,8&lt;=$F32),1,""))</f>
        <v/>
      </c>
      <c r="W32" s="226">
        <f>IF(OR($D32="-",$D32=""),"",IF(AND(9&gt;=$E32,9&lt;=$F32),1,""))</f>
        <v/>
      </c>
      <c r="X32" s="32">
        <f>IF(OR($D32="-",$D32=""),"",IF(AND(10&gt;=$E32,10&lt;=$F32),1,""))</f>
        <v/>
      </c>
      <c r="Y32" s="32">
        <f>IF(OR($D32="-",$D32=""),"",IF(AND(11&gt;=$E32,11&lt;=$F32),1,""))</f>
        <v/>
      </c>
      <c r="Z32" s="32">
        <f>IF(OR($D32="-",$D32=""),"",IF(AND(12&gt;=$E32,12&lt;=$F32),1,""))</f>
        <v/>
      </c>
    </row>
    <row r="33" ht="15" customHeight="1" s="46">
      <c r="A33" t="inlineStr">
        <is>
          <t>5.3</t>
        </is>
      </c>
      <c r="B33" t="inlineStr">
        <is>
          <t>Phase 5</t>
        </is>
      </c>
      <c r="C33" t="inlineStr">
        <is>
          <t>Bilan annuel</t>
        </is>
      </c>
      <c r="D33" s="65">
        <f>2</f>
        <v/>
      </c>
      <c r="E33" s="65" t="n">
        <v>11</v>
      </c>
      <c r="F33" s="65">
        <f>IF(OR($D33="-",$D33=""),"",$E33+ROUND($D33/4,0))</f>
        <v/>
      </c>
      <c r="G33" t="inlineStr">
        <is>
          <t>OUI</t>
        </is>
      </c>
      <c r="H33" s="32">
        <f>IF(OR($D33="-",$D33=""),"",IF(AND(-6&gt;=$E33,-6&lt;=$F33),1,""))</f>
        <v/>
      </c>
      <c r="I33" s="32">
        <f>IF(OR($D33="-",$D33=""),"",IF(AND(-5&gt;=$E33,-5&lt;=$F33),1,""))</f>
        <v/>
      </c>
      <c r="J33" s="32">
        <f>IF(OR($D33="-",$D33=""),"",IF(AND(-4&gt;=$E33,-4&lt;=$F33),1,""))</f>
        <v/>
      </c>
      <c r="K33" s="32">
        <f>IF(OR($D33="-",$D33=""),"",IF(AND(-3&gt;=$E33,-3&lt;=$F33),1,""))</f>
        <v/>
      </c>
      <c r="L33" s="32">
        <f>IF(OR($D33="-",$D33=""),"",IF(AND(-2&gt;=$E33,-2&lt;=$F33),1,""))</f>
        <v/>
      </c>
      <c r="M33" s="32">
        <f>IF(OR($D33="-",$D33=""),"",IF(AND(-1&gt;=$E33,-1&lt;=$F33),1,""))</f>
        <v/>
      </c>
      <c r="N33" s="32">
        <f>IF(OR($D33="-",$D33=""),"",IF(AND(0&gt;=$E33,0&lt;=$F33),1,""))</f>
        <v/>
      </c>
      <c r="O33" s="32">
        <f>IF(OR($D33="-",$D33=""),"",IF(AND(1&gt;=$E33,1&lt;=$F33),1,""))</f>
        <v/>
      </c>
      <c r="P33" s="32">
        <f>IF(OR($D33="-",$D33=""),"",IF(AND(2&gt;=$E33,2&lt;=$F33),1,""))</f>
        <v/>
      </c>
      <c r="Q33" s="32">
        <f>IF(OR($D33="-",$D33=""),"",IF(AND(3&gt;=$E33,3&lt;=$F33),1,""))</f>
        <v/>
      </c>
      <c r="R33" s="32">
        <f>IF(OR($D33="-",$D33=""),"",IF(AND(4&gt;=$E33,4&lt;=$F33),1,""))</f>
        <v/>
      </c>
      <c r="S33" s="32">
        <f>IF(OR($D33="-",$D33=""),"",IF(AND(5&gt;=$E33,5&lt;=$F33),1,""))</f>
        <v/>
      </c>
      <c r="T33" s="32">
        <f>IF(OR($D33="-",$D33=""),"",IF(AND(6&gt;=$E33,6&lt;=$F33),1,""))</f>
        <v/>
      </c>
      <c r="U33" s="32">
        <f>IF(OR($D33="-",$D33=""),"",IF(AND(7&gt;=$E33,7&lt;=$F33),1,""))</f>
        <v/>
      </c>
      <c r="V33" s="32">
        <f>IF(OR($D33="-",$D33=""),"",IF(AND(8&gt;=$E33,8&lt;=$F33),1,""))</f>
        <v/>
      </c>
      <c r="W33" s="32">
        <f>IF(OR($D33="-",$D33=""),"",IF(AND(9&gt;=$E33,9&lt;=$F33),1,""))</f>
        <v/>
      </c>
      <c r="X33" s="32">
        <f>IF(OR($D33="-",$D33=""),"",IF(AND(10&gt;=$E33,10&lt;=$F33),1,""))</f>
        <v/>
      </c>
      <c r="Y33" s="226">
        <f>IF(OR($D33="-",$D33=""),"",IF(AND(11&gt;=$E33,11&lt;=$F33),1,""))</f>
        <v/>
      </c>
      <c r="Z33" s="226">
        <f>IF(OR($D33="-",$D33=""),"",IF(AND(12&gt;=$E33,12&lt;=$F33),1,""))</f>
        <v/>
      </c>
    </row>
    <row r="34" ht="15" customHeight="1" s="46">
      <c r="A34" s="31" t="n"/>
      <c r="B34" s="31" t="inlineStr">
        <is>
          <t>PHASE 6</t>
        </is>
      </c>
      <c r="C34" s="31" t="inlineStr">
        <is>
          <t>CONFORMITÉ CONTINUE</t>
        </is>
      </c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 ht="15" customHeight="1" s="46">
      <c r="A35" t="inlineStr">
        <is>
          <t>6.1</t>
        </is>
      </c>
      <c r="B35" t="inlineStr">
        <is>
          <t>Phase 6</t>
        </is>
      </c>
      <c r="C35" t="inlineStr">
        <is>
          <t>Formation continue</t>
        </is>
      </c>
      <c r="D35" s="65">
        <f>48</f>
        <v/>
      </c>
      <c r="E35" s="65" t="n">
        <v>0</v>
      </c>
      <c r="F35" s="65">
        <f>IF(OR($D35="-",$D35=""),"",$E35+ROUND($D35/4,0))</f>
        <v/>
      </c>
      <c r="G35" t="inlineStr">
        <is>
          <t>Non</t>
        </is>
      </c>
      <c r="H35" s="32">
        <f>IF(OR($D35="-",$D35=""),"",IF(AND(-6&gt;=$E35,-6&lt;=$F35),1,""))</f>
        <v/>
      </c>
      <c r="I35" s="32">
        <f>IF(OR($D35="-",$D35=""),"",IF(AND(-5&gt;=$E35,-5&lt;=$F35),1,""))</f>
        <v/>
      </c>
      <c r="J35" s="32">
        <f>IF(OR($D35="-",$D35=""),"",IF(AND(-4&gt;=$E35,-4&lt;=$F35),1,""))</f>
        <v/>
      </c>
      <c r="K35" s="32">
        <f>IF(OR($D35="-",$D35=""),"",IF(AND(-3&gt;=$E35,-3&lt;=$F35),1,""))</f>
        <v/>
      </c>
      <c r="L35" s="32">
        <f>IF(OR($D35="-",$D35=""),"",IF(AND(-2&gt;=$E35,-2&lt;=$F35),1,""))</f>
        <v/>
      </c>
      <c r="M35" s="32">
        <f>IF(OR($D35="-",$D35=""),"",IF(AND(-1&gt;=$E35,-1&lt;=$F35),1,""))</f>
        <v/>
      </c>
      <c r="N35" s="227">
        <f>IF(OR($D35="-",$D35=""),"",IF(AND(0&gt;=$E35,0&lt;=$F35),1,""))</f>
        <v/>
      </c>
      <c r="O35" s="227">
        <f>IF(OR($D35="-",$D35=""),"",IF(AND(1&gt;=$E35,1&lt;=$F35),1,""))</f>
        <v/>
      </c>
      <c r="P35" s="227">
        <f>IF(OR($D35="-",$D35=""),"",IF(AND(2&gt;=$E35,2&lt;=$F35),1,""))</f>
        <v/>
      </c>
      <c r="Q35" s="227">
        <f>IF(OR($D35="-",$D35=""),"",IF(AND(3&gt;=$E35,3&lt;=$F35),1,""))</f>
        <v/>
      </c>
      <c r="R35" s="227">
        <f>IF(OR($D35="-",$D35=""),"",IF(AND(4&gt;=$E35,4&lt;=$F35),1,""))</f>
        <v/>
      </c>
      <c r="S35" s="227">
        <f>IF(OR($D35="-",$D35=""),"",IF(AND(5&gt;=$E35,5&lt;=$F35),1,""))</f>
        <v/>
      </c>
      <c r="T35" s="227">
        <f>IF(OR($D35="-",$D35=""),"",IF(AND(6&gt;=$E35,6&lt;=$F35),1,""))</f>
        <v/>
      </c>
      <c r="U35" s="227">
        <f>IF(OR($D35="-",$D35=""),"",IF(AND(7&gt;=$E35,7&lt;=$F35),1,""))</f>
        <v/>
      </c>
      <c r="V35" s="227">
        <f>IF(OR($D35="-",$D35=""),"",IF(AND(8&gt;=$E35,8&lt;=$F35),1,""))</f>
        <v/>
      </c>
      <c r="W35" s="227">
        <f>IF(OR($D35="-",$D35=""),"",IF(AND(9&gt;=$E35,9&lt;=$F35),1,""))</f>
        <v/>
      </c>
      <c r="X35" s="227">
        <f>IF(OR($D35="-",$D35=""),"",IF(AND(10&gt;=$E35,10&lt;=$F35),1,""))</f>
        <v/>
      </c>
      <c r="Y35" s="227">
        <f>IF(OR($D35="-",$D35=""),"",IF(AND(11&gt;=$E35,11&lt;=$F35),1,""))</f>
        <v/>
      </c>
      <c r="Z35" s="227">
        <f>IF(OR($D35="-",$D35=""),"",IF(AND(12&gt;=$E35,12&lt;=$F35),1,""))</f>
        <v/>
      </c>
    </row>
    <row r="38">
      <c r="A38" s="126" t="inlineStr">
        <is>
          <t>LÉGENDE DES PHASES</t>
        </is>
      </c>
      <c r="B38" s="128" t="n"/>
      <c r="C38" s="128" t="n"/>
      <c r="D38" s="128" t="n"/>
      <c r="E38" s="128" t="n"/>
      <c r="F38" s="128" t="n"/>
      <c r="G38" s="128" t="n"/>
      <c r="H38" s="128" t="n"/>
      <c r="I38" s="128" t="n"/>
    </row>
    <row r="39">
      <c r="A39" s="214" t="inlineStr">
        <is>
          <t xml:space="preserve">   </t>
        </is>
      </c>
      <c r="B39" s="119" t="inlineStr">
        <is>
          <t>Phase 0 - Préparation</t>
        </is>
      </c>
      <c r="C39" s="187" t="inlineStr">
        <is>
          <t>Avant M0 : Diagnostic, SWOT, prévisionnel</t>
        </is>
      </c>
      <c r="D39" s="128" t="n"/>
      <c r="E39" s="128" t="n"/>
      <c r="F39" s="128" t="n"/>
      <c r="G39" s="128" t="n"/>
      <c r="H39" s="128" t="n"/>
      <c r="I39" s="128" t="n"/>
    </row>
    <row r="40">
      <c r="A40" s="215" t="inlineStr">
        <is>
          <t xml:space="preserve">   </t>
        </is>
      </c>
      <c r="B40" s="119" t="inlineStr">
        <is>
          <t>Phase 1 - Administratif</t>
        </is>
      </c>
      <c r="C40" s="187" t="inlineStr">
        <is>
          <t>Avant M0 : Statuts, Ordre, RCP</t>
        </is>
      </c>
      <c r="D40" s="128" t="n"/>
      <c r="E40" s="128" t="n"/>
      <c r="F40" s="128" t="n"/>
      <c r="G40" s="128" t="n"/>
      <c r="H40" s="128" t="n"/>
      <c r="I40" s="128" t="n"/>
    </row>
    <row r="41">
      <c r="A41" s="216" t="inlineStr">
        <is>
          <t xml:space="preserve">   </t>
        </is>
      </c>
      <c r="B41" s="119" t="inlineStr">
        <is>
          <t>Phase 2 - SI &amp; Conformité</t>
        </is>
      </c>
      <c r="C41" s="187" t="inlineStr">
        <is>
          <t>M0 : Logiciels, RGPD, PA (ex-PDP)</t>
        </is>
      </c>
      <c r="D41" s="128" t="n"/>
      <c r="E41" s="128" t="n"/>
      <c r="F41" s="128" t="n"/>
      <c r="G41" s="128" t="n"/>
      <c r="H41" s="128" t="n"/>
      <c r="I41" s="128" t="n"/>
    </row>
    <row r="42">
      <c r="A42" s="217" t="inlineStr">
        <is>
          <t xml:space="preserve">   </t>
        </is>
      </c>
      <c r="B42" s="119" t="inlineStr">
        <is>
          <t>Phase 3 - Lancement</t>
        </is>
      </c>
      <c r="C42" s="187" t="inlineStr">
        <is>
          <t>M0→M+3 : Site, onboarding, process</t>
        </is>
      </c>
      <c r="D42" s="128" t="n"/>
      <c r="E42" s="128" t="n"/>
      <c r="F42" s="128" t="n"/>
      <c r="G42" s="128" t="n"/>
      <c r="H42" s="128" t="n"/>
      <c r="I42" s="128" t="n"/>
    </row>
    <row r="43">
      <c r="A43" s="218" t="inlineStr">
        <is>
          <t xml:space="preserve">   </t>
        </is>
      </c>
      <c r="B43" s="119" t="inlineStr">
        <is>
          <t>Phase 4 - Industrialisation</t>
        </is>
      </c>
      <c r="C43" s="187" t="inlineStr">
        <is>
          <t>M+3→M+6 : Clients, automatisations</t>
        </is>
      </c>
      <c r="D43" s="128" t="n"/>
      <c r="E43" s="128" t="n"/>
      <c r="F43" s="128" t="n"/>
      <c r="G43" s="128" t="n"/>
      <c r="H43" s="128" t="n"/>
      <c r="I43" s="128" t="n"/>
    </row>
    <row r="44">
      <c r="A44" s="219" t="inlineStr">
        <is>
          <t xml:space="preserve">   </t>
        </is>
      </c>
      <c r="B44" s="119" t="inlineStr">
        <is>
          <t>Phase 5 - Structuration</t>
        </is>
      </c>
      <c r="C44" s="187" t="inlineStr">
        <is>
          <t>M+6→M+12 : Recrutement, bilan</t>
        </is>
      </c>
      <c r="D44" s="128" t="n"/>
      <c r="E44" s="128" t="n"/>
      <c r="F44" s="128" t="n"/>
      <c r="G44" s="128" t="n"/>
      <c r="H44" s="128" t="n"/>
      <c r="I44" s="128" t="n"/>
    </row>
    <row r="45">
      <c r="A45" s="220" t="inlineStr">
        <is>
          <t xml:space="preserve">   </t>
        </is>
      </c>
      <c r="B45" s="119" t="inlineStr">
        <is>
          <t>Phase 6 - Conformité</t>
        </is>
      </c>
      <c r="C45" s="187" t="inlineStr">
        <is>
          <t>Continu : Formation 40h/an</t>
        </is>
      </c>
      <c r="D45" s="128" t="n"/>
      <c r="E45" s="128" t="n"/>
      <c r="F45" s="128" t="n"/>
      <c r="G45" s="128" t="n"/>
      <c r="H45" s="128" t="n"/>
      <c r="I45" s="128" t="n"/>
    </row>
    <row r="46">
      <c r="A46" s="212" t="inlineStr">
        <is>
          <t xml:space="preserve">   </t>
        </is>
      </c>
      <c r="B46" s="228" t="inlineStr">
        <is>
          <t>CHEMIN CRITIQUE</t>
        </is>
      </c>
      <c r="C46" s="128" t="inlineStr">
        <is>
          <t>Colonne Crit = OUI → Aucun retard toléré</t>
        </is>
      </c>
      <c r="D46" s="128" t="n"/>
      <c r="E46" s="128" t="n"/>
      <c r="F46" s="128" t="n"/>
      <c r="G46" s="128" t="n"/>
      <c r="H46" s="128" t="n"/>
      <c r="I46" s="128" t="n"/>
    </row>
    <row r="47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</row>
    <row r="48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</row>
    <row r="49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</row>
    <row r="50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</row>
    <row r="51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</row>
    <row r="52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</row>
    <row r="53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</row>
    <row r="54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H6:Z11">
    <cfRule type="cellIs" priority="10" operator="equal" dxfId="8">
      <formula>1</formula>
    </cfRule>
  </conditionalFormatting>
  <conditionalFormatting sqref="H13:Z13">
    <cfRule type="cellIs" priority="11" operator="equal" dxfId="9">
      <formula>1</formula>
    </cfRule>
  </conditionalFormatting>
  <conditionalFormatting sqref="H15:Z15">
    <cfRule type="cellIs" priority="12" operator="equal" dxfId="9">
      <formula>1</formula>
    </cfRule>
  </conditionalFormatting>
  <conditionalFormatting sqref="H17:Z19">
    <cfRule type="cellIs" priority="13" operator="equal" dxfId="10">
      <formula>1</formula>
    </cfRule>
  </conditionalFormatting>
  <conditionalFormatting sqref="H22:Z24">
    <cfRule type="cellIs" priority="14" operator="equal" dxfId="11">
      <formula>1</formula>
    </cfRule>
  </conditionalFormatting>
  <conditionalFormatting sqref="H26:Z29">
    <cfRule type="cellIs" priority="15" operator="equal" dxfId="12">
      <formula>1</formula>
    </cfRule>
  </conditionalFormatting>
  <conditionalFormatting sqref="H31:Z33">
    <cfRule type="cellIs" priority="16" operator="equal" dxfId="13">
      <formula>1</formula>
    </cfRule>
  </conditionalFormatting>
  <conditionalFormatting sqref="H35:Z35">
    <cfRule type="cellIs" priority="17" operator="equal" dxfId="14">
      <formula>1</formula>
    </cfRule>
  </conditionalFormatting>
  <conditionalFormatting sqref="H14:Z14">
    <cfRule type="cellIs" priority="18" operator="equal" dxfId="15">
      <formula>1</formula>
    </cfRule>
  </conditionalFormatting>
  <conditionalFormatting sqref="H20:Z20">
    <cfRule type="cellIs" priority="19" operator="equal" dxfId="15">
      <formula>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Normal="100" workbookViewId="0">
      <selection activeCell="A1" sqref="A1"/>
    </sheetView>
  </sheetViews>
  <sheetFormatPr baseColWidth="10" defaultColWidth="8.6640625" defaultRowHeight="14.4"/>
  <cols>
    <col width="6" customWidth="1" style="46" min="1" max="1"/>
    <col width="28" customWidth="1" style="46" min="2" max="2"/>
    <col width="12" customWidth="1" style="46" min="3" max="3"/>
    <col width="10" customWidth="1" style="46" min="4" max="4"/>
    <col width="14" customWidth="1" style="46" min="5" max="5"/>
    <col width="12" customWidth="1" style="46" min="6" max="6"/>
    <col width="25" customWidth="1" style="46" min="7" max="7"/>
  </cols>
  <sheetData>
    <row r="1" ht="19.5" customHeight="1" s="46">
      <c r="A1" s="68" t="inlineStr">
        <is>
          <t>PERT - SUIVI OPERATIONNEL DU PROJET</t>
        </is>
      </c>
    </row>
    <row r="2">
      <c r="A2" s="40" t="inlineStr">
        <is>
          <t>Diagramme PERT adapte en outil de pilotage reel avec chemin critique et dependances</t>
        </is>
      </c>
    </row>
    <row r="3" ht="15" customHeight="1" s="46">
      <c r="A3" s="78" t="inlineStr">
        <is>
          <t>ID</t>
        </is>
      </c>
      <c r="B3" s="78" t="inlineStr">
        <is>
          <t>Tâche</t>
        </is>
      </c>
      <c r="C3" s="78" t="inlineStr">
        <is>
          <t>Période</t>
        </is>
      </c>
      <c r="D3" s="78" t="inlineStr">
        <is>
          <t>Durée</t>
        </is>
      </c>
      <c r="E3" s="78" t="inlineStr">
        <is>
          <t>Annexe</t>
        </is>
      </c>
      <c r="F3" s="78" t="inlineStr">
        <is>
          <t>Statut</t>
        </is>
      </c>
      <c r="G3" s="78" t="inlineStr">
        <is>
          <t>Commentaire</t>
        </is>
      </c>
      <c r="H3" s="78" t="inlineStr">
        <is>
          <t>Livrable</t>
        </is>
      </c>
    </row>
    <row r="4" ht="15" customHeight="1" s="46">
      <c r="A4" s="89" t="inlineStr">
        <is>
          <t>0.1</t>
        </is>
      </c>
      <c r="B4" s="89" t="inlineStr">
        <is>
          <t>Autodiagnostic maturité (Annexe 2 – 6 dimensions)</t>
        </is>
      </c>
      <c r="C4" s="89" t="inlineStr">
        <is>
          <t>Avant M0</t>
        </is>
      </c>
      <c r="D4" s="89" t="inlineStr">
        <is>
          <t>2 sem</t>
        </is>
      </c>
      <c r="E4" s="89" t="inlineStr">
        <is>
          <t>Annexe 2</t>
        </is>
      </c>
      <c r="F4" s="193">
        <f>IFERROR(VLOOKUP($A4,'0-Saisie'!$B$46:$E$69,4,FALSE),"A faire")</f>
        <v/>
      </c>
      <c r="G4" s="89" t="inlineStr">
        <is>
          <t>Critères RGPD/sécurité BLOQUANTS</t>
        </is>
      </c>
      <c r="H4" s="89" t="inlineStr">
        <is>
          <t>Diagnostic complété + plan d’actions</t>
        </is>
      </c>
    </row>
    <row r="5" ht="15" customHeight="1" s="46">
      <c r="A5" s="89" t="inlineStr">
        <is>
          <t>0.2</t>
        </is>
      </c>
      <c r="B5" s="89" t="inlineStr">
        <is>
          <t>Étude marché</t>
        </is>
      </c>
      <c r="C5" s="89" t="inlineStr">
        <is>
          <t>Avant M0</t>
        </is>
      </c>
      <c r="D5" s="89" t="inlineStr">
        <is>
          <t>3 sem</t>
        </is>
      </c>
      <c r="E5" s="89" t="inlineStr">
        <is>
          <t>Annexe 1</t>
        </is>
      </c>
      <c r="F5" s="193">
        <f>IFERROR(VLOOKUP($A5,'0-Saisie'!$B$46:$E$69,4,FALSE),"A faire")</f>
        <v/>
      </c>
      <c r="G5" s="89" t="inlineStr">
        <is>
          <t>Données marché 2025-2026</t>
        </is>
      </c>
      <c r="H5" s="89" t="inlineStr">
        <is>
          <t>Synthèse marché + hypothèses</t>
        </is>
      </c>
    </row>
    <row r="6" ht="15" customHeight="1" s="46">
      <c r="A6" s="89" t="inlineStr">
        <is>
          <t>0.3</t>
        </is>
      </c>
      <c r="B6" s="89" t="inlineStr">
        <is>
          <t>SWOT + BMC</t>
        </is>
      </c>
      <c r="C6" s="89" t="inlineStr">
        <is>
          <t>Avant M0</t>
        </is>
      </c>
      <c r="D6" s="89" t="inlineStr">
        <is>
          <t>4 sem</t>
        </is>
      </c>
      <c r="E6" s="89" t="inlineStr">
        <is>
          <t>Annexe 3 + 8</t>
        </is>
      </c>
      <c r="F6" s="193">
        <f>IFERROR(VLOOKUP($A6,'0-Saisie'!$B$46:$E$69,4,FALSE),"A faire")</f>
        <v/>
      </c>
      <c r="G6" s="89" t="inlineStr">
        <is>
          <t>Utiliser Annexe 3 AVANT BMC</t>
        </is>
      </c>
      <c r="H6" s="89" t="inlineStr">
        <is>
          <t>SWOT + BMC validés</t>
        </is>
      </c>
    </row>
    <row r="7" ht="15" customHeight="1" s="46">
      <c r="A7" s="89" t="inlineStr">
        <is>
          <t>0.4</t>
        </is>
      </c>
      <c r="B7" s="89" t="inlineStr">
        <is>
          <t>Prévisionnel financier</t>
        </is>
      </c>
      <c r="C7" s="89" t="inlineStr">
        <is>
          <t>Avant M0</t>
        </is>
      </c>
      <c r="D7" s="89" t="inlineStr">
        <is>
          <t>3 sem</t>
        </is>
      </c>
      <c r="E7" s="89" t="inlineStr">
        <is>
          <t>Annexe 7</t>
        </is>
      </c>
      <c r="F7" s="193">
        <f>IFERROR(VLOOKUP($A7,'0-Saisie'!$B$46:$E$69,4,FALSE),"A faire")</f>
        <v/>
      </c>
      <c r="G7" s="89" t="inlineStr">
        <is>
          <t>Scénario prudent + trésorerie sécurité</t>
        </is>
      </c>
      <c r="H7" s="89" t="inlineStr">
        <is>
          <t>Prévisionnel + plan financement</t>
        </is>
      </c>
    </row>
    <row r="8" ht="15" customHeight="1" s="46">
      <c r="A8" s="89" t="inlineStr">
        <is>
          <t>0.5</t>
        </is>
      </c>
      <c r="B8" s="89" t="inlineStr">
        <is>
          <t>Architecture SI</t>
        </is>
      </c>
      <c r="C8" s="89" t="inlineStr">
        <is>
          <t>Avant M0</t>
        </is>
      </c>
      <c r="D8" s="89" t="inlineStr">
        <is>
          <t>2 sem</t>
        </is>
      </c>
      <c r="E8" s="89" t="inlineStr">
        <is>
          <t>Annexe 6</t>
        </is>
      </c>
      <c r="F8" s="193">
        <f>IFERROR(VLOOKUP($A8,'0-Saisie'!$B$46:$E$69,4,FALSE),"A faire")</f>
        <v/>
      </c>
      <c r="G8" s="89" t="inlineStr">
        <is>
          <t>Ne pas commander avant architecture validée</t>
        </is>
      </c>
      <c r="H8" s="89" t="inlineStr">
        <is>
          <t>Schéma SI + choix outils</t>
        </is>
      </c>
    </row>
    <row r="9" ht="15" customHeight="1" s="46">
      <c r="A9" s="89" t="inlineStr">
        <is>
          <t>0.6</t>
        </is>
      </c>
      <c r="B9" s="89" t="inlineStr">
        <is>
          <t>Formation IA &amp; Data (AI Act)</t>
        </is>
      </c>
      <c r="C9" s="89" t="inlineStr">
        <is>
          <t>Avant M0</t>
        </is>
      </c>
      <c r="D9" s="89" t="inlineStr">
        <is>
          <t>2 sem</t>
        </is>
      </c>
      <c r="E9" s="89" t="inlineStr">
        <is>
          <t>Annexe 1</t>
        </is>
      </c>
      <c r="F9" s="193">
        <f>IFERROR(VLOOKUP($A9,'0-Saisie'!$B$46:$E$69,4,FALSE),"A faire")</f>
        <v/>
      </c>
      <c r="G9" s="89" t="inlineStr">
        <is>
          <t>AI literacy (art. 4) + règles internes d’usage</t>
        </is>
      </c>
      <c r="H9" s="89" t="inlineStr">
        <is>
          <t>Attestation / plan de formation IA</t>
        </is>
      </c>
    </row>
    <row r="10" ht="15" customHeight="1" s="46">
      <c r="A10" s="89" t="inlineStr">
        <is>
          <t>1.1</t>
        </is>
      </c>
      <c r="B10" s="89" t="inlineStr">
        <is>
          <t>Statuts + immatriculation</t>
        </is>
      </c>
      <c r="C10" s="89" t="inlineStr">
        <is>
          <t>Avant M0</t>
        </is>
      </c>
      <c r="D10" s="89" t="inlineStr">
        <is>
          <t>4 sem</t>
        </is>
      </c>
      <c r="E10" s="89" t="inlineStr">
        <is>
          <t>-</t>
        </is>
      </c>
      <c r="F10" s="193">
        <f>IFERROR(VLOOKUP($A10,'0-Saisie'!$B$46:$E$69,4,FALSE),"A faire")</f>
        <v/>
      </c>
      <c r="G10" s="89" t="inlineStr">
        <is>
          <t>Anticiper délais greffe</t>
        </is>
      </c>
      <c r="H10" s="89" t="inlineStr">
        <is>
          <t>KBis / immatriculation</t>
        </is>
      </c>
    </row>
    <row r="11" ht="15" customHeight="1" s="46">
      <c r="A11" s="89" t="inlineStr">
        <is>
          <t>1.2</t>
        </is>
      </c>
      <c r="B11" s="89" t="inlineStr">
        <is>
          <t>Inscription Ordre</t>
        </is>
      </c>
      <c r="C11" s="89" t="inlineStr">
        <is>
          <t>Avant M0</t>
        </is>
      </c>
      <c r="D11" s="89" t="inlineStr">
        <is>
          <t>6 sem</t>
        </is>
      </c>
      <c r="E11" s="89" t="inlineStr">
        <is>
          <t>Annexe 5</t>
        </is>
      </c>
      <c r="F11" s="193">
        <f>IFERROR(VLOOKUP($A11,'0-Saisie'!$B$46:$E$69,4,FALSE),"A faire")</f>
        <v/>
      </c>
      <c r="G11" s="89" t="inlineStr">
        <is>
          <t>CRITIQUE — délai incompressible</t>
        </is>
      </c>
      <c r="H11" s="89" t="inlineStr">
        <is>
          <t>Inscription obtenue</t>
        </is>
      </c>
    </row>
    <row r="12" ht="15" customHeight="1" s="46">
      <c r="A12" s="89" t="inlineStr">
        <is>
          <t>1.3</t>
        </is>
      </c>
      <c r="B12" s="89" t="inlineStr">
        <is>
          <t>Assurance RCP</t>
        </is>
      </c>
      <c r="C12" s="89" t="inlineStr">
        <is>
          <t>M0</t>
        </is>
      </c>
      <c r="D12" s="89" t="inlineStr">
        <is>
          <t>2 sem</t>
        </is>
      </c>
      <c r="E12" s="89" t="inlineStr">
        <is>
          <t>-</t>
        </is>
      </c>
      <c r="F12" s="193">
        <f>IFERROR(VLOOKUP($A12,'0-Saisie'!$B$46:$E$69,4,FALSE),"A faire")</f>
        <v/>
      </c>
      <c r="G12" s="89" t="inlineStr">
        <is>
          <t>RCP obligatoire avant exercice</t>
        </is>
      </c>
      <c r="H12" s="89" t="inlineStr">
        <is>
          <t>Attestation RCP</t>
        </is>
      </c>
    </row>
    <row r="13" ht="15" customHeight="1" s="46">
      <c r="A13" s="89" t="inlineStr">
        <is>
          <t>2.1</t>
        </is>
      </c>
      <c r="B13" s="89" t="inlineStr">
        <is>
          <t>Déploiement logiciel</t>
        </is>
      </c>
      <c r="C13" s="89" t="inlineStr">
        <is>
          <t>M0</t>
        </is>
      </c>
      <c r="D13" s="89" t="inlineStr">
        <is>
          <t>4-6 sem</t>
        </is>
      </c>
      <c r="E13" s="89" t="inlineStr">
        <is>
          <t>Annexe 10</t>
        </is>
      </c>
      <c r="F13" s="193">
        <f>IFERROR(VLOOKUP($A13,'0-Saisie'!$B$46:$E$69,4,FALSE),"A faire")</f>
        <v/>
      </c>
      <c r="G13" s="89" t="inlineStr">
        <is>
          <t>Paramétrage prod + tests</t>
        </is>
      </c>
      <c r="H13" s="89" t="inlineStr">
        <is>
          <t>Production opérationnelle</t>
        </is>
      </c>
    </row>
    <row r="14" ht="15" customHeight="1" s="46">
      <c r="A14" s="89" t="inlineStr">
        <is>
          <t>2.2</t>
        </is>
      </c>
      <c r="B14" s="89" t="inlineStr">
        <is>
          <t>RGPD</t>
        </is>
      </c>
      <c r="C14" s="89" t="inlineStr">
        <is>
          <t>M0</t>
        </is>
      </c>
      <c r="D14" s="89" t="inlineStr">
        <is>
          <t>3 sem</t>
        </is>
      </c>
      <c r="E14" s="89" t="inlineStr">
        <is>
          <t>-</t>
        </is>
      </c>
      <c r="F14" s="193">
        <f>IFERROR(VLOOKUP($A14,'0-Saisie'!$B$46:$E$69,4,FALSE),"A faire")</f>
        <v/>
      </c>
      <c r="G14" s="89" t="inlineStr">
        <is>
          <t>AVANT 1er client (bloquant)</t>
        </is>
      </c>
      <c r="H14" s="89" t="inlineStr">
        <is>
          <t>Registre + procédures</t>
        </is>
      </c>
    </row>
    <row r="15" ht="15" customHeight="1" s="46">
      <c r="A15" s="89" t="inlineStr">
        <is>
          <t>2.3</t>
        </is>
      </c>
      <c r="B15" s="89" t="inlineStr">
        <is>
          <t>Cybersécurité</t>
        </is>
      </c>
      <c r="C15" s="89" t="inlineStr">
        <is>
          <t>M0</t>
        </is>
      </c>
      <c r="D15" s="89" t="inlineStr">
        <is>
          <t>2 sem</t>
        </is>
      </c>
      <c r="E15" s="89" t="inlineStr">
        <is>
          <t>-</t>
        </is>
      </c>
      <c r="F15" s="193">
        <f>IFERROR(VLOOKUP($A15,'0-Saisie'!$B$46:$E$69,4,FALSE),"A faire")</f>
        <v/>
      </c>
      <c r="G15" s="89" t="inlineStr">
        <is>
          <t>MFA + sauvegardes + PRA</t>
        </is>
      </c>
      <c r="H15" s="89" t="inlineStr">
        <is>
          <t>Mesures en place</t>
        </is>
      </c>
    </row>
    <row r="16" ht="15" customHeight="1" s="46">
      <c r="A16" s="89" t="inlineStr">
        <is>
          <t>2.4</t>
        </is>
      </c>
      <c r="B16" s="89" t="inlineStr">
        <is>
          <t>Choix PA (ex-PDP) / portail facture électronique</t>
        </is>
      </c>
      <c r="C16" s="89" t="inlineStr">
        <is>
          <t>M0</t>
        </is>
      </c>
      <c r="D16" s="89" t="inlineStr">
        <is>
          <t>3-4 sem</t>
        </is>
      </c>
      <c r="E16" s="89" t="inlineStr">
        <is>
          <t>Annexe 1</t>
        </is>
      </c>
      <c r="F16" s="193">
        <f>IFERROR(VLOOKUP($A16,'0-Saisie'!$B$46:$E$69,4,FALSE),"A faire")</f>
        <v/>
      </c>
      <c r="G16" s="89" t="inlineStr">
        <is>
          <t>CRITIQUE — PA (ex-PDP) + process clients</t>
        </is>
      </c>
      <c r="H16" s="89" t="inlineStr">
        <is>
          <t>PA choisie + portail prêt</t>
        </is>
      </c>
    </row>
    <row r="17" ht="15" customHeight="1" s="46">
      <c r="A17" s="89" t="inlineStr">
        <is>
          <t>3.1</t>
        </is>
      </c>
      <c r="B17" s="89" t="inlineStr">
        <is>
          <t>Site web</t>
        </is>
      </c>
      <c r="C17" s="89" t="inlineStr">
        <is>
          <t>M0-M+1</t>
        </is>
      </c>
      <c r="D17" s="89" t="inlineStr">
        <is>
          <t>4 sem</t>
        </is>
      </c>
      <c r="E17" s="89" t="inlineStr">
        <is>
          <t>-</t>
        </is>
      </c>
      <c r="F17" s="193">
        <f>IFERROR(VLOOKUP($A17,'0-Saisie'!$B$46:$E$69,4,FALSE),"A faire")</f>
        <v/>
      </c>
      <c r="G17" s="89" t="inlineStr">
        <is>
          <t>Offre claire + pages légales</t>
        </is>
      </c>
      <c r="H17" s="89" t="inlineStr">
        <is>
          <t>Site publié</t>
        </is>
      </c>
    </row>
    <row r="18" ht="15" customHeight="1" s="46">
      <c r="A18" s="89" t="inlineStr">
        <is>
          <t>3.2</t>
        </is>
      </c>
      <c r="B18" s="89" t="inlineStr">
        <is>
          <t>Onboarding clients</t>
        </is>
      </c>
      <c r="C18" s="89" t="inlineStr">
        <is>
          <t>M0-M+3</t>
        </is>
      </c>
      <c r="D18" s="89" t="inlineStr">
        <is>
          <t>8 sem</t>
        </is>
      </c>
      <c r="E18" s="89" t="inlineStr">
        <is>
          <t>Annexe 15</t>
        </is>
      </c>
      <c r="F18" s="193">
        <f>IFERROR(VLOOKUP($A18,'0-Saisie'!$B$46:$E$69,4,FALSE),"A faire")</f>
        <v/>
      </c>
      <c r="G18" s="89" t="inlineStr">
        <is>
          <t>Standardiser pour scaler</t>
        </is>
      </c>
      <c r="H18" s="89" t="inlineStr">
        <is>
          <t>Process onboarding</t>
        </is>
      </c>
    </row>
    <row r="19" ht="15" customHeight="1" s="46">
      <c r="A19" s="89" t="inlineStr">
        <is>
          <t>3.3</t>
        </is>
      </c>
      <c r="B19" s="89" t="inlineStr">
        <is>
          <t>Process standardisés</t>
        </is>
      </c>
      <c r="C19" s="89" t="inlineStr">
        <is>
          <t>M+1-M+3</t>
        </is>
      </c>
      <c r="D19" s="89" t="inlineStr">
        <is>
          <t>4 sem</t>
        </is>
      </c>
      <c r="E19" s="89" t="inlineStr">
        <is>
          <t>-</t>
        </is>
      </c>
      <c r="F19" s="193">
        <f>IFERROR(VLOOKUP($A19,'0-Saisie'!$B$46:$E$69,4,FALSE),"A faire")</f>
        <v/>
      </c>
      <c r="G19" s="89" t="inlineStr">
        <is>
          <t>Templates + contrôles</t>
        </is>
      </c>
      <c r="H19" s="89" t="inlineStr">
        <is>
          <t>Process documentés</t>
        </is>
      </c>
    </row>
    <row r="20" ht="15" customHeight="1" s="46">
      <c r="A20" s="89" t="inlineStr">
        <is>
          <t>4.1</t>
        </is>
      </c>
      <c r="B20" s="89" t="inlineStr">
        <is>
          <t>Développement clients</t>
        </is>
      </c>
      <c r="C20" s="89" t="inlineStr">
        <is>
          <t>M+3-M+6</t>
        </is>
      </c>
      <c r="D20" s="89" t="inlineStr">
        <is>
          <t>12 sem</t>
        </is>
      </c>
      <c r="E20" s="89" t="inlineStr">
        <is>
          <t>Annexe 12-13</t>
        </is>
      </c>
      <c r="F20" s="193">
        <f>IFERROR(VLOOKUP($A20,'0-Saisie'!$B$46:$E$69,4,FALSE),"A faire")</f>
        <v/>
      </c>
      <c r="G20" s="89" t="inlineStr">
        <is>
          <t>Pipeline + conversion</t>
        </is>
      </c>
      <c r="H20" s="89" t="inlineStr">
        <is>
          <t>X clients acquis</t>
        </is>
      </c>
    </row>
    <row r="21" ht="15" customHeight="1" s="46">
      <c r="A21" s="89" t="inlineStr">
        <is>
          <t>4.2</t>
        </is>
      </c>
      <c r="B21" s="89" t="inlineStr">
        <is>
          <t>Automatisations (ROI Annexe 1)</t>
        </is>
      </c>
      <c r="C21" s="89" t="inlineStr">
        <is>
          <t>M+4-M+6</t>
        </is>
      </c>
      <c r="D21" s="89" t="inlineStr">
        <is>
          <t>4 sem</t>
        </is>
      </c>
      <c r="E21" s="89" t="inlineStr">
        <is>
          <t>Annexe 1</t>
        </is>
      </c>
      <c r="F21" s="193">
        <f>IFERROR(VLOOKUP($A21,'0-Saisie'!$B$46:$E$69,4,FALSE),"A faire")</f>
        <v/>
      </c>
      <c r="G21" s="89" t="inlineStr">
        <is>
          <t>1.Rappr. bancaire (60-80%) 2.OCR (30-50%) 3.Reporting (50-70%)</t>
        </is>
      </c>
      <c r="H21" s="89" t="inlineStr">
        <is>
          <t>Automatisations en place</t>
        </is>
      </c>
    </row>
    <row r="22" ht="15" customHeight="1" s="46">
      <c r="A22" s="89" t="inlineStr">
        <is>
          <t>4.3</t>
        </is>
      </c>
      <c r="B22" s="89" t="inlineStr">
        <is>
          <t>Audit Cybersécurité (Label Cyber)</t>
        </is>
      </c>
      <c r="C22" s="89" t="inlineStr">
        <is>
          <t>M+4-M+5</t>
        </is>
      </c>
      <c r="D22" s="89" t="inlineStr">
        <is>
          <t>2 sem</t>
        </is>
      </c>
      <c r="E22" s="89" t="inlineStr">
        <is>
          <t>Annexe 3</t>
        </is>
      </c>
      <c r="F22" s="193">
        <f>IFERROR(VLOOKUP($A22,'0-Saisie'!$B$46:$E$69,4,FALSE),"A faire")</f>
        <v/>
      </c>
      <c r="G22" s="89" t="inlineStr">
        <is>
          <t>Stratégie ST — différenciation sécurité</t>
        </is>
      </c>
      <c r="H22" s="89" t="inlineStr">
        <is>
          <t>Audit + plan remédiation</t>
        </is>
      </c>
    </row>
    <row r="23">
      <c r="A23" s="89" t="inlineStr">
        <is>
          <t>4.4</t>
        </is>
      </c>
      <c r="B23" s="89" t="inlineStr">
        <is>
          <t>Lancement offre « Conseil e-facture »</t>
        </is>
      </c>
      <c r="C23" s="89" t="inlineStr">
        <is>
          <t>M+4-M+6</t>
        </is>
      </c>
      <c r="D23" s="89" t="inlineStr">
        <is>
          <t>4 sem</t>
        </is>
      </c>
      <c r="E23" s="89" t="inlineStr">
        <is>
          <t>Annexe 3</t>
        </is>
      </c>
      <c r="F23" s="93">
        <f>IFERROR(VLOOKUP($A23,'0-Saisie'!$B$46:$E$69,4,FALSE),"A faire")</f>
        <v/>
      </c>
      <c r="G23" s="89" t="inlineStr">
        <is>
          <t>Stratégie SO — opportunité CA conseil</t>
        </is>
      </c>
      <c r="H23" s="89" t="inlineStr">
        <is>
          <t>Offre packagée + pricing</t>
        </is>
      </c>
    </row>
    <row r="24">
      <c r="A24" s="89" t="inlineStr">
        <is>
          <t>5.1</t>
        </is>
      </c>
      <c r="B24" s="89" t="inlineStr">
        <is>
          <t>Recrutement</t>
        </is>
      </c>
      <c r="C24" s="89" t="inlineStr">
        <is>
          <t>M+6+</t>
        </is>
      </c>
      <c r="D24" s="89" t="inlineStr">
        <is>
          <t>8-12 sem</t>
        </is>
      </c>
      <c r="E24" s="89" t="inlineStr">
        <is>
          <t>Annexe 18-20</t>
        </is>
      </c>
      <c r="F24" s="93">
        <f>IFERROR(VLOOKUP($A24,'0-Saisie'!$B$46:$E$69,4,FALSE),"A faire")</f>
        <v/>
      </c>
      <c r="G24" s="89" t="inlineStr">
        <is>
          <t>Tensions marché ~85% (Annexe 1) — prévoir marque employeur</t>
        </is>
      </c>
      <c r="H24" s="89" t="inlineStr">
        <is>
          <t>Collaborateur recruté</t>
        </is>
      </c>
    </row>
    <row r="25" ht="15" customHeight="1" s="46">
      <c r="A25" s="94" t="inlineStr">
        <is>
          <t>5.2</t>
        </is>
      </c>
      <c r="B25" s="95" t="inlineStr">
        <is>
          <t>Intégration collaborateur</t>
        </is>
      </c>
      <c r="C25" s="89" t="inlineStr">
        <is>
          <t>M+6+</t>
        </is>
      </c>
      <c r="D25" s="89" t="inlineStr">
        <is>
          <t>4 sem</t>
        </is>
      </c>
      <c r="E25" s="89" t="inlineStr">
        <is>
          <t>Annexe 21</t>
        </is>
      </c>
      <c r="F25" s="93">
        <f>IFERROR(VLOOKUP($A25,'0-Saisie'!$B$46:$E$69,4,FALSE),"A faire")</f>
        <v/>
      </c>
      <c r="G25" s="89" t="inlineStr">
        <is>
          <t>Si RH actif</t>
        </is>
      </c>
      <c r="H25" s="89" t="inlineStr">
        <is>
          <t>Autonomie opérationnelle</t>
        </is>
      </c>
    </row>
    <row r="26" ht="15" customHeight="1" s="46">
      <c r="A26" s="89" t="inlineStr">
        <is>
          <t>5.3</t>
        </is>
      </c>
      <c r="B26" s="96" t="inlineStr">
        <is>
          <t>Bilan annuel</t>
        </is>
      </c>
      <c r="C26" s="89" t="inlineStr">
        <is>
          <t>M+12</t>
        </is>
      </c>
      <c r="D26" s="89" t="inlineStr">
        <is>
          <t>2 sem</t>
        </is>
      </c>
      <c r="E26" s="89" t="inlineStr">
        <is>
          <t>Annexe 8</t>
        </is>
      </c>
      <c r="F26" s="93">
        <f>IFERROR(VLOOKUP($A26,'0-Saisie'!$B$46:$E$69,4,FALSE),"A faire")</f>
        <v/>
      </c>
      <c r="G26" s="89" t="inlineStr">
        <is>
          <t>Bilan + plan année 2</t>
        </is>
      </c>
      <c r="H26" s="89" t="inlineStr">
        <is>
          <t>Bilan validé</t>
        </is>
      </c>
    </row>
    <row r="27">
      <c r="A27" s="89" t="inlineStr">
        <is>
          <t>6.1</t>
        </is>
      </c>
      <c r="B27" s="89" t="inlineStr">
        <is>
          <t>Formation continue</t>
        </is>
      </c>
      <c r="C27" s="89" t="inlineStr">
        <is>
          <t>M0-M+12</t>
        </is>
      </c>
      <c r="D27" s="89" t="inlineStr">
        <is>
          <t>Récurrent</t>
        </is>
      </c>
      <c r="E27" s="89" t="inlineStr">
        <is>
          <t>Annexe 1</t>
        </is>
      </c>
      <c r="F27" s="93">
        <f>IFERROR(VLOOKUP($A27,'0-Saisie'!$B$46:$E$69,4,FALSE),"A faire")</f>
        <v/>
      </c>
      <c r="G27" s="89" t="inlineStr">
        <is>
          <t>40h/an dont 20h homologuées + LCB-FT + IA</t>
        </is>
      </c>
      <c r="H27" s="89" t="inlineStr">
        <is>
          <t>Plan formation annuel</t>
        </is>
      </c>
    </row>
    <row r="30">
      <c r="A30" s="97" t="inlineStr">
        <is>
          <t>AVANCEMENT GLOBAL:</t>
        </is>
      </c>
      <c r="B30">
        <f>COUNTIF(F4:F27,"Terminé")&amp;"/"&amp;ROWS(A4:A27)&amp;" tâches terminées"</f>
        <v/>
      </c>
    </row>
    <row r="31">
      <c r="B31">
        <f>ROUND(COUNTIF(F4:F27,"Terminé")/ROWS(A4:A27)*100,0)&amp;"% complété"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4:F22" showDropDown="0" showInputMessage="0" showErrorMessage="0" allowBlank="0" type="list">
      <formula1>"A faire,En cours,Termine,Bloque"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zoomScaleNormal="100" workbookViewId="0">
      <selection activeCell="A1" sqref="A1"/>
    </sheetView>
  </sheetViews>
  <sheetFormatPr baseColWidth="10" defaultColWidth="8.6640625" defaultRowHeight="14.4"/>
  <cols>
    <col width="71.88671875" bestFit="1" customWidth="1" style="46" min="1" max="1"/>
    <col width="120" customWidth="1" style="46" min="2" max="2"/>
  </cols>
  <sheetData>
    <row r="1" ht="19.5" customHeight="1" s="46">
      <c r="A1" s="68" t="inlineStr">
        <is>
          <t>ALERTES PERSONNALISEES - Selon vos parametres</t>
        </is>
      </c>
    </row>
    <row r="3" ht="15" customHeight="1" s="46">
      <c r="A3" s="98" t="inlineStr">
        <is>
          <t>VOS ALERTES SPÉCIFIQUES</t>
        </is>
      </c>
    </row>
    <row r="5" ht="24" customHeight="1" s="46">
      <c r="A5" t="inlineStr">
        <is>
          <t>Type projet:</t>
        </is>
      </c>
      <c r="B5" s="107">
        <f>IF('2-Mon Projet'!D11="Creation ex-nihilo","Création ex-nihilo : durée standard, attention à la trésorerie.","Autre mode : ajuster les délais et rôles.")</f>
        <v/>
      </c>
    </row>
    <row r="6" ht="36" customHeight="1" s="46">
      <c r="A6" t="inlineStr">
        <is>
          <t>Ressources humaines:</t>
        </is>
      </c>
      <c r="B6" s="107">
        <f>IF('2-Mon Projet'!D26=0,"MODE SOLO : pas de recrutement prévu.","RH ACTIVE :"&amp;CHAR(10)&amp;"- Grille 2026 : collaborateur DCG min 26 548€ brut + 45% ≈ 38 500€ coût/an"&amp;CHAR(10)&amp;"- Recrutement : tensions élevées (~85%) ⇒ prévoir 10–12 sem"&amp;CHAR(10)&amp;"- AI Act : clause/parcours formation IA (AI literacy 02/02/2025)")</f>
        <v/>
      </c>
    </row>
    <row r="7" ht="24" customHeight="1" s="46">
      <c r="A7" t="inlineStr">
        <is>
          <t>Automatisation (ROI):</t>
        </is>
      </c>
      <c r="B7" s="107" t="inlineStr">
        <is>
          <t>ROI (Annexe 1) : 1) Rappr. bancaire 60–80%  2) OCR 30–50%  3) Reporting 50–70%</t>
        </is>
      </c>
    </row>
    <row r="8" ht="24" customHeight="1" s="46">
      <c r="A8" t="inlineStr">
        <is>
          <t>E-facture (PA (ex-PDP)):</t>
        </is>
      </c>
      <c r="B8" s="107">
        <f>IFERROR(VLOOKUP("2.4",'0-Saisie'!$B$46:$E$69,4,FALSE),"A faire")&amp;" — Choisir une PA (ex-PDP)/portail avant 01/09/2026 (réception obligatoire)."</f>
        <v/>
      </c>
    </row>
    <row r="9" ht="24" customHeight="1" s="46">
      <c r="A9" t="inlineStr">
        <is>
          <t>Budget:</t>
        </is>
      </c>
      <c r="B9" s="107">
        <f>IF('2-Mon Projet'!D48&lt;'2-Mon Projet'!D49,"ALERTE : trésorerie de sécurité insuffisante (viser ≥ "&amp;'2-Mon Projet'!D41&amp;" mois).","OK : trésorerie de sécurité couverte.")</f>
        <v/>
      </c>
    </row>
    <row r="11" ht="15" customHeight="1" s="46">
      <c r="A11" s="100" t="inlineStr">
        <is>
          <t>ALERTES CRITIQUES — RÉGLEMENTATION (dates clés)</t>
        </is>
      </c>
    </row>
    <row r="13" ht="15" customHeight="1" s="46">
      <c r="A13" s="137" t="inlineStr">
        <is>
          <t>02/02/2025</t>
        </is>
      </c>
      <c r="B13" s="22" t="inlineStr">
        <is>
          <t>AI Act : AI literacy (formation/compétence IA) — obligations applicables</t>
        </is>
      </c>
    </row>
    <row r="14" ht="15" customHeight="1" s="46">
      <c r="A14" s="137" t="inlineStr">
        <is>
          <t>02/08/2026</t>
        </is>
      </c>
      <c r="B14" s="22" t="inlineStr">
        <is>
          <t>AI Act : applicabilité générale de l’AI Act (sauf exceptions/transition)</t>
        </is>
      </c>
    </row>
    <row r="15" ht="15" customHeight="1" s="46">
      <c r="A15" s="137" t="inlineStr">
        <is>
          <t>01/09/2026</t>
        </is>
      </c>
      <c r="B15" s="22" t="inlineStr">
        <is>
          <t>Facture électronique : RÉCEPTION obligatoire (toutes entreprises assujetties TVA) + ÉMISSION GE/ETI</t>
        </is>
      </c>
    </row>
    <row r="16" ht="15" customHeight="1" s="46">
      <c r="A16" s="137" t="inlineStr">
        <is>
          <t>01/09/2027</t>
        </is>
      </c>
      <c r="B16" s="22" t="inlineStr">
        <is>
          <t>Facture électronique : ÉMISSION obligatoire PME / micro</t>
        </is>
      </c>
    </row>
    <row r="17" ht="15" customHeight="1" s="46">
      <c r="A17" s="9" t="n"/>
      <c r="B17" s="22" t="n"/>
    </row>
    <row r="19" ht="15" customHeight="1" s="46">
      <c r="A19" s="101" t="inlineStr">
        <is>
          <t>ERREURS CLASSIQUES À ÉVITER</t>
        </is>
      </c>
    </row>
    <row r="21" ht="15" customHeight="1" s="46">
      <c r="A21" t="inlineStr">
        <is>
          <t>Avant M0</t>
        </is>
      </c>
      <c r="B21" t="inlineStr">
        <is>
          <t>Ne pas faire le diagnostic Annexe 2 (RGPD/sécurité bloquants)</t>
        </is>
      </c>
    </row>
    <row r="22" ht="15" customHeight="1" s="46">
      <c r="A22" t="inlineStr">
        <is>
          <t>Avant M0</t>
        </is>
      </c>
      <c r="B22" t="inlineStr">
        <is>
          <t>Commander des outils avant architecture SI / choix PA (ex-PDP) validés</t>
        </is>
      </c>
    </row>
    <row r="23" ht="15" customHeight="1" s="46">
      <c r="A23" t="inlineStr">
        <is>
          <t>M0–M+3</t>
        </is>
      </c>
      <c r="B23" t="inlineStr">
        <is>
          <t>Négliger la sécurité du portail client (bloquant)</t>
        </is>
      </c>
    </row>
    <row r="24" ht="15" customHeight="1" s="46">
      <c r="A24" t="inlineStr">
        <is>
          <t>M0–M+3</t>
        </is>
      </c>
      <c r="B24" t="inlineStr">
        <is>
          <t>Sous-estimer RGPD : conformité avant 1er client</t>
        </is>
      </c>
    </row>
    <row r="25" ht="15" customHeight="1" s="46">
      <c r="A25" t="inlineStr">
        <is>
          <t>M+3–M+6</t>
        </is>
      </c>
      <c r="B25" t="inlineStr">
        <is>
          <t>Sous-estimer paramétrage APIs et OCR</t>
        </is>
      </c>
    </row>
    <row r="26">
      <c r="A26" t="inlineStr">
        <is>
          <t>M+6–M+12</t>
        </is>
      </c>
      <c r="B26" t="inlineStr">
        <is>
          <t>Recruter sans budget marque employeur (tensions marché)</t>
        </is>
      </c>
    </row>
    <row r="27" ht="15" customHeight="1" s="46">
      <c r="A27" s="64" t="n"/>
    </row>
    <row r="28" ht="15" customHeight="1" s="46">
      <c r="A28" s="71" t="n"/>
    </row>
    <row r="29">
      <c r="A29" s="102" t="inlineStr">
        <is>
          <t>RAPPELS OBLIGATOIRES</t>
        </is>
      </c>
    </row>
    <row r="31">
      <c r="A31" t="inlineStr">
        <is>
          <t>Inscription Ordre</t>
        </is>
      </c>
      <c r="B31" t="inlineStr">
        <is>
          <t>Délai incompressible : anticiper avant M0.</t>
        </is>
      </c>
    </row>
    <row r="32">
      <c r="A32" t="inlineStr">
        <is>
          <t>Assurance RCP</t>
        </is>
      </c>
      <c r="B32" t="inlineStr">
        <is>
          <t>Obligatoire avant exercice.</t>
        </is>
      </c>
    </row>
    <row r="33">
      <c r="A33" t="inlineStr">
        <is>
          <t>RGPD</t>
        </is>
      </c>
      <c r="B33" t="inlineStr">
        <is>
          <t>Conformité obligatoire AVANT le premier client.</t>
        </is>
      </c>
    </row>
    <row r="34">
      <c r="A34" t="inlineStr">
        <is>
          <t>Facturation électronique</t>
        </is>
      </c>
      <c r="B34" t="inlineStr">
        <is>
          <t>01/09/2026: réception via PA obligatoire (le PPF = annuaire uniquement). 01/09/2027: émission.</t>
        </is>
      </c>
    </row>
    <row r="35">
      <c r="A35" t="inlineStr">
        <is>
          <t>Référentiel salarial 2026</t>
        </is>
      </c>
      <c r="B35" t="inlineStr">
        <is>
          <t>Accord n°48 (15/12/2025) : +2,9%. Salaire min. collaborateur : 26 548 € brut/an.</t>
        </is>
      </c>
    </row>
    <row r="36">
      <c r="A36" t="inlineStr">
        <is>
          <t>Secret professionnel</t>
        </is>
      </c>
      <c r="B36" t="inlineStr">
        <is>
          <t>Dès le premier contact client.</t>
        </is>
      </c>
    </row>
    <row r="39">
      <c r="A39" s="97" t="inlineStr">
        <is>
          <t>Conclusion :</t>
        </is>
      </c>
      <c r="B39" t="inlineStr">
        <is>
          <t>Le Gantt n’est pas un planning figé : le passage de période dépend de conditions financières + réglementaires.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27:G27"/>
    <mergeCell ref="B5:G5"/>
    <mergeCell ref="B9:G9"/>
    <mergeCell ref="B8:G8"/>
    <mergeCell ref="B7:G7"/>
    <mergeCell ref="A28:G28"/>
    <mergeCell ref="B6:G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2025-12-25T12:51:28Z</dcterms:created>
  <dcterms:modified xmlns:dcterms="http://purl.org/dc/terms/" xmlns:xsi="http://www.w3.org/2001/XMLSchema-instance" xsi:type="dcterms:W3CDTF">2026-02-01T14:43:10Z</dcterms:modified>
  <cp:lastModifiedBy>Adel BARKALLAH</cp:lastModifiedBy>
  <cp:revision>0</cp:revision>
</cp:coreProperties>
</file>