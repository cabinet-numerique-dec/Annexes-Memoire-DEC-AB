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el-\Downloads\"/>
    </mc:Choice>
  </mc:AlternateContent>
  <xr:revisionPtr revIDLastSave="0" documentId="13_ncr:1_{06FE07CB-8ACE-482F-8706-45E9C562DC0F}" xr6:coauthVersionLast="47" xr6:coauthVersionMax="47" xr10:uidLastSave="{00000000-0000-0000-0000-000000000000}"/>
  <workbookProtection workbookAlgorithmName="SHA-512" workbookHashValue="o7keNXfCWMkaC0jEco784tO8tY2ubNcwZZ3fFzsGI94Nf8YYwSiT7+i9dNilT6GLh21mFBkpad6446vlAw0ppA==" workbookSaltValue="D4PvlJ/zABIq632k627oVQ==" workbookSpinCount="100000" lockStructure="1"/>
  <bookViews>
    <workbookView xWindow="-28920" yWindow="-45" windowWidth="29040" windowHeight="15720" tabRatio="500" xr2:uid="{00000000-000D-0000-FFFF-FFFF00000000}"/>
  </bookViews>
  <sheets>
    <sheet name="GUIDE" sheetId="1" r:id="rId1"/>
    <sheet name="SAISIE" sheetId="2" r:id="rId2"/>
    <sheet name="DIAGNOSTIC" sheetId="3" r:id="rId3"/>
    <sheet name="PLAN D'ACTION" sheetId="4" r:id="rId4"/>
    <sheet name="FICHE QUALITÉ" sheetId="5" r:id="rId5"/>
    <sheet name="_REF" sheetId="6" state="hidden" r:id="rId6"/>
  </sheets>
  <definedNames>
    <definedName name="_xlnm.Print_Titles" localSheetId="1">SAISIE!$1:$4</definedName>
    <definedName name="_xlnm.Print_Area" localSheetId="5">_REF!$A$1:$A$200</definedName>
    <definedName name="_xlnm.Print_Area" localSheetId="2">DIAGNOSTIC!$B$2:$K$70</definedName>
    <definedName name="_xlnm.Print_Area" localSheetId="4">'FICHE QUALITÉ'!$B$2:$G$67</definedName>
    <definedName name="_xlnm.Print_Area" localSheetId="0">GUIDE!$B$1:$J$52</definedName>
    <definedName name="_xlnm.Print_Area" localSheetId="3">'PLAN D''ACTION'!$B$2:$I$74</definedName>
    <definedName name="_xlnm.Print_Area" localSheetId="1">SAISIE!$B$1:$K$109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2" i="5" l="1"/>
  <c r="D11" i="5"/>
  <c r="D9" i="5"/>
  <c r="D8" i="5"/>
  <c r="D7" i="5"/>
  <c r="J90" i="4"/>
  <c r="I90" i="4"/>
  <c r="H90" i="4"/>
  <c r="G90" i="4"/>
  <c r="F90" i="4"/>
  <c r="E90" i="4"/>
  <c r="D90" i="4"/>
  <c r="C90" i="4"/>
  <c r="B90" i="4"/>
  <c r="J89" i="4"/>
  <c r="I89" i="4"/>
  <c r="H89" i="4"/>
  <c r="G89" i="4"/>
  <c r="F89" i="4"/>
  <c r="E89" i="4"/>
  <c r="D89" i="4"/>
  <c r="C89" i="4"/>
  <c r="B89" i="4"/>
  <c r="J88" i="4"/>
  <c r="I88" i="4"/>
  <c r="H88" i="4"/>
  <c r="G88" i="4"/>
  <c r="F88" i="4"/>
  <c r="E88" i="4"/>
  <c r="D88" i="4"/>
  <c r="C88" i="4"/>
  <c r="B88" i="4"/>
  <c r="J87" i="4"/>
  <c r="I87" i="4"/>
  <c r="H87" i="4"/>
  <c r="G87" i="4"/>
  <c r="F87" i="4"/>
  <c r="E87" i="4"/>
  <c r="D87" i="4"/>
  <c r="C87" i="4"/>
  <c r="B87" i="4"/>
  <c r="J86" i="4"/>
  <c r="I86" i="4"/>
  <c r="H86" i="4"/>
  <c r="G86" i="4"/>
  <c r="F86" i="4"/>
  <c r="E86" i="4"/>
  <c r="D86" i="4"/>
  <c r="C86" i="4"/>
  <c r="B86" i="4"/>
  <c r="J85" i="4"/>
  <c r="I85" i="4"/>
  <c r="H85" i="4"/>
  <c r="G85" i="4"/>
  <c r="F85" i="4"/>
  <c r="E85" i="4"/>
  <c r="D85" i="4"/>
  <c r="C85" i="4"/>
  <c r="B85" i="4"/>
  <c r="J84" i="4"/>
  <c r="I84" i="4"/>
  <c r="H84" i="4"/>
  <c r="G84" i="4"/>
  <c r="F84" i="4"/>
  <c r="E84" i="4"/>
  <c r="D84" i="4"/>
  <c r="C84" i="4"/>
  <c r="B84" i="4"/>
  <c r="J83" i="4"/>
  <c r="I83" i="4"/>
  <c r="H83" i="4"/>
  <c r="G83" i="4"/>
  <c r="F83" i="4"/>
  <c r="E83" i="4"/>
  <c r="D83" i="4"/>
  <c r="C83" i="4"/>
  <c r="B83" i="4"/>
  <c r="J82" i="4"/>
  <c r="I82" i="4"/>
  <c r="H82" i="4"/>
  <c r="G82" i="4"/>
  <c r="F82" i="4"/>
  <c r="E82" i="4"/>
  <c r="D82" i="4"/>
  <c r="C82" i="4"/>
  <c r="B82" i="4"/>
  <c r="J81" i="4"/>
  <c r="I81" i="4"/>
  <c r="H81" i="4"/>
  <c r="G81" i="4"/>
  <c r="F81" i="4"/>
  <c r="E81" i="4"/>
  <c r="D81" i="4"/>
  <c r="C81" i="4"/>
  <c r="B81" i="4"/>
  <c r="J80" i="4"/>
  <c r="I80" i="4"/>
  <c r="H80" i="4"/>
  <c r="G80" i="4"/>
  <c r="F80" i="4"/>
  <c r="E80" i="4"/>
  <c r="D80" i="4"/>
  <c r="C80" i="4"/>
  <c r="B80" i="4"/>
  <c r="J79" i="4"/>
  <c r="I79" i="4"/>
  <c r="H79" i="4"/>
  <c r="G79" i="4"/>
  <c r="F79" i="4"/>
  <c r="E79" i="4"/>
  <c r="D79" i="4"/>
  <c r="C79" i="4"/>
  <c r="B79" i="4"/>
  <c r="J78" i="4"/>
  <c r="J91" i="4" s="1"/>
  <c r="I78" i="4"/>
  <c r="I91" i="4" s="1"/>
  <c r="H78" i="4"/>
  <c r="H91" i="4" s="1"/>
  <c r="G78" i="4"/>
  <c r="G91" i="4" s="1"/>
  <c r="F78" i="4"/>
  <c r="F91" i="4" s="1"/>
  <c r="E78" i="4"/>
  <c r="E91" i="4" s="1"/>
  <c r="D78" i="4"/>
  <c r="D91" i="4" s="1"/>
  <c r="C78" i="4"/>
  <c r="B78" i="4"/>
  <c r="E73" i="4"/>
  <c r="C73" i="4"/>
  <c r="B72" i="4"/>
  <c r="H70" i="4"/>
  <c r="B70" i="4"/>
  <c r="F68" i="4"/>
  <c r="E67" i="4"/>
  <c r="D66" i="4"/>
  <c r="E65" i="4"/>
  <c r="D64" i="4"/>
  <c r="B64" i="4"/>
  <c r="D58" i="4"/>
  <c r="D57" i="4"/>
  <c r="F46" i="4"/>
  <c r="E46" i="4"/>
  <c r="D46" i="4"/>
  <c r="C46" i="4"/>
  <c r="B46" i="4"/>
  <c r="F45" i="4"/>
  <c r="E45" i="4"/>
  <c r="D45" i="4"/>
  <c r="C45" i="4"/>
  <c r="B45" i="4"/>
  <c r="F44" i="4"/>
  <c r="E44" i="4"/>
  <c r="D44" i="4"/>
  <c r="C44" i="4"/>
  <c r="B44" i="4"/>
  <c r="F43" i="4"/>
  <c r="E43" i="4"/>
  <c r="D43" i="4"/>
  <c r="C43" i="4"/>
  <c r="B43" i="4"/>
  <c r="F42" i="4"/>
  <c r="E42" i="4"/>
  <c r="D42" i="4"/>
  <c r="C42" i="4"/>
  <c r="B42" i="4"/>
  <c r="F41" i="4"/>
  <c r="E41" i="4"/>
  <c r="D41" i="4"/>
  <c r="C41" i="4"/>
  <c r="B41" i="4"/>
  <c r="F40" i="4"/>
  <c r="E40" i="4"/>
  <c r="D40" i="4"/>
  <c r="C40" i="4"/>
  <c r="B40" i="4"/>
  <c r="F39" i="4"/>
  <c r="E39" i="4"/>
  <c r="D39" i="4"/>
  <c r="C39" i="4"/>
  <c r="B39" i="4"/>
  <c r="F38" i="4"/>
  <c r="E38" i="4"/>
  <c r="D38" i="4"/>
  <c r="C38" i="4"/>
  <c r="B38" i="4"/>
  <c r="F37" i="4"/>
  <c r="E37" i="4"/>
  <c r="D37" i="4"/>
  <c r="C37" i="4"/>
  <c r="B37" i="4"/>
  <c r="F36" i="4"/>
  <c r="E36" i="4"/>
  <c r="D36" i="4"/>
  <c r="C36" i="4"/>
  <c r="B36" i="4"/>
  <c r="F35" i="4"/>
  <c r="F47" i="4" s="1"/>
  <c r="D50" i="4" s="1"/>
  <c r="D34" i="5" s="1"/>
  <c r="E35" i="4"/>
  <c r="D35" i="4"/>
  <c r="C35" i="4"/>
  <c r="B35" i="4"/>
  <c r="F34" i="4"/>
  <c r="E34" i="4"/>
  <c r="D34" i="4"/>
  <c r="C34" i="4"/>
  <c r="B34" i="4"/>
  <c r="C27" i="4"/>
  <c r="C28" i="4" s="1"/>
  <c r="D48" i="4" s="1"/>
  <c r="D32" i="5" s="1"/>
  <c r="C26" i="4"/>
  <c r="H19" i="4"/>
  <c r="G19" i="4"/>
  <c r="F19" i="4"/>
  <c r="E19" i="4"/>
  <c r="D19" i="4"/>
  <c r="C19" i="4"/>
  <c r="B19" i="4"/>
  <c r="H18" i="4"/>
  <c r="G18" i="4"/>
  <c r="F18" i="4"/>
  <c r="E18" i="4"/>
  <c r="D18" i="4"/>
  <c r="C18" i="4"/>
  <c r="B18" i="4"/>
  <c r="H17" i="4"/>
  <c r="G17" i="4"/>
  <c r="F17" i="4"/>
  <c r="E17" i="4"/>
  <c r="D17" i="4"/>
  <c r="C17" i="4"/>
  <c r="B17" i="4"/>
  <c r="H16" i="4"/>
  <c r="G16" i="4"/>
  <c r="F16" i="4"/>
  <c r="E16" i="4"/>
  <c r="D16" i="4"/>
  <c r="C16" i="4"/>
  <c r="B16" i="4"/>
  <c r="H15" i="4"/>
  <c r="G15" i="4"/>
  <c r="F15" i="4"/>
  <c r="E15" i="4"/>
  <c r="D15" i="4"/>
  <c r="C15" i="4"/>
  <c r="B15" i="4"/>
  <c r="H14" i="4"/>
  <c r="G14" i="4"/>
  <c r="F14" i="4"/>
  <c r="E14" i="4"/>
  <c r="D14" i="4"/>
  <c r="C14" i="4"/>
  <c r="B14" i="4"/>
  <c r="H13" i="4"/>
  <c r="G13" i="4"/>
  <c r="F13" i="4"/>
  <c r="E13" i="4"/>
  <c r="D13" i="4"/>
  <c r="C13" i="4"/>
  <c r="B13" i="4"/>
  <c r="H12" i="4"/>
  <c r="G12" i="4"/>
  <c r="F12" i="4"/>
  <c r="E12" i="4"/>
  <c r="D12" i="4"/>
  <c r="C12" i="4"/>
  <c r="B12" i="4"/>
  <c r="H11" i="4"/>
  <c r="G11" i="4"/>
  <c r="F11" i="4"/>
  <c r="E11" i="4"/>
  <c r="D11" i="4"/>
  <c r="C11" i="4"/>
  <c r="B11" i="4"/>
  <c r="H10" i="4"/>
  <c r="G10" i="4"/>
  <c r="F10" i="4"/>
  <c r="E10" i="4"/>
  <c r="D10" i="4"/>
  <c r="C10" i="4"/>
  <c r="H9" i="4"/>
  <c r="G9" i="4"/>
  <c r="F9" i="4"/>
  <c r="E9" i="4"/>
  <c r="D9" i="4"/>
  <c r="C9" i="4"/>
  <c r="B9" i="4"/>
  <c r="H8" i="4"/>
  <c r="G8" i="4"/>
  <c r="F8" i="4"/>
  <c r="E8" i="4"/>
  <c r="D8" i="4"/>
  <c r="C8" i="4"/>
  <c r="B8" i="4"/>
  <c r="H7" i="4"/>
  <c r="G7" i="4"/>
  <c r="F7" i="4"/>
  <c r="E7" i="4"/>
  <c r="E20" i="4" s="1"/>
  <c r="D7" i="4"/>
  <c r="D20" i="4" s="1"/>
  <c r="C7" i="4"/>
  <c r="B7" i="4"/>
  <c r="K42" i="3"/>
  <c r="G42" i="3"/>
  <c r="H42" i="3" s="1"/>
  <c r="I42" i="3" s="1"/>
  <c r="F42" i="3"/>
  <c r="E42" i="3"/>
  <c r="D42" i="3"/>
  <c r="C42" i="3"/>
  <c r="J42" i="3" s="1"/>
  <c r="B42" i="3"/>
  <c r="G41" i="3"/>
  <c r="H41" i="3" s="1"/>
  <c r="I41" i="3" s="1"/>
  <c r="F41" i="3"/>
  <c r="E41" i="3"/>
  <c r="D41" i="3"/>
  <c r="C41" i="3"/>
  <c r="J41" i="3" s="1"/>
  <c r="B41" i="3"/>
  <c r="J40" i="3"/>
  <c r="G40" i="3"/>
  <c r="K40" i="3" s="1"/>
  <c r="F40" i="3"/>
  <c r="E40" i="3"/>
  <c r="D40" i="3"/>
  <c r="C40" i="3"/>
  <c r="B40" i="3"/>
  <c r="K39" i="3"/>
  <c r="G39" i="3"/>
  <c r="F39" i="3"/>
  <c r="E39" i="3"/>
  <c r="D39" i="3"/>
  <c r="C39" i="3"/>
  <c r="J39" i="3" s="1"/>
  <c r="B39" i="3"/>
  <c r="K38" i="3"/>
  <c r="G38" i="3"/>
  <c r="F38" i="3"/>
  <c r="E38" i="3"/>
  <c r="D38" i="3"/>
  <c r="C38" i="3"/>
  <c r="H38" i="3" s="1"/>
  <c r="I38" i="3" s="1"/>
  <c r="B38" i="3"/>
  <c r="G37" i="3"/>
  <c r="H37" i="3" s="1"/>
  <c r="I37" i="3" s="1"/>
  <c r="F37" i="3"/>
  <c r="E37" i="3"/>
  <c r="D37" i="3"/>
  <c r="C37" i="3"/>
  <c r="J37" i="3" s="1"/>
  <c r="B37" i="3"/>
  <c r="J36" i="3"/>
  <c r="G36" i="3"/>
  <c r="K36" i="3" s="1"/>
  <c r="F36" i="3"/>
  <c r="E36" i="3"/>
  <c r="D36" i="3"/>
  <c r="C36" i="3"/>
  <c r="B36" i="3"/>
  <c r="K35" i="3"/>
  <c r="G35" i="3"/>
  <c r="F35" i="3"/>
  <c r="E35" i="3"/>
  <c r="D35" i="3"/>
  <c r="C35" i="3"/>
  <c r="J35" i="3" s="1"/>
  <c r="B35" i="3"/>
  <c r="K34" i="3"/>
  <c r="G34" i="3"/>
  <c r="F34" i="3"/>
  <c r="E34" i="3"/>
  <c r="D34" i="3"/>
  <c r="C34" i="3"/>
  <c r="H34" i="3" s="1"/>
  <c r="I34" i="3" s="1"/>
  <c r="B34" i="3"/>
  <c r="G33" i="3"/>
  <c r="H33" i="3" s="1"/>
  <c r="I33" i="3" s="1"/>
  <c r="F33" i="3"/>
  <c r="E33" i="3"/>
  <c r="D33" i="3"/>
  <c r="C33" i="3"/>
  <c r="J33" i="3" s="1"/>
  <c r="B33" i="3"/>
  <c r="J32" i="3"/>
  <c r="G32" i="3"/>
  <c r="K32" i="3" s="1"/>
  <c r="F32" i="3"/>
  <c r="E32" i="3"/>
  <c r="D32" i="3"/>
  <c r="C32" i="3"/>
  <c r="B32" i="3"/>
  <c r="K31" i="3"/>
  <c r="G31" i="3"/>
  <c r="F31" i="3"/>
  <c r="E31" i="3"/>
  <c r="D31" i="3"/>
  <c r="C31" i="3"/>
  <c r="J31" i="3" s="1"/>
  <c r="B31" i="3"/>
  <c r="K30" i="3"/>
  <c r="G30" i="3"/>
  <c r="F30" i="3"/>
  <c r="E30" i="3"/>
  <c r="D30" i="3"/>
  <c r="C30" i="3"/>
  <c r="H30" i="3" s="1"/>
  <c r="I30" i="3" s="1"/>
  <c r="B30" i="3"/>
  <c r="G29" i="3"/>
  <c r="K29" i="3" s="1"/>
  <c r="F29" i="3"/>
  <c r="E29" i="3"/>
  <c r="D29" i="3"/>
  <c r="C29" i="3"/>
  <c r="J29" i="3" s="1"/>
  <c r="B29" i="3"/>
  <c r="J28" i="3"/>
  <c r="G28" i="3"/>
  <c r="K28" i="3" s="1"/>
  <c r="F28" i="3"/>
  <c r="E28" i="3"/>
  <c r="D28" i="3"/>
  <c r="C28" i="3"/>
  <c r="B28" i="3"/>
  <c r="K27" i="3"/>
  <c r="G27" i="3"/>
  <c r="F27" i="3"/>
  <c r="E27" i="3"/>
  <c r="D27" i="3"/>
  <c r="C27" i="3"/>
  <c r="J27" i="3" s="1"/>
  <c r="B27" i="3"/>
  <c r="F26" i="3"/>
  <c r="E26" i="3"/>
  <c r="D26" i="3"/>
  <c r="C26" i="3"/>
  <c r="H22" i="3"/>
  <c r="G22" i="3"/>
  <c r="F22" i="3"/>
  <c r="E22" i="3"/>
  <c r="D22" i="3"/>
  <c r="C22" i="3"/>
  <c r="B22" i="3"/>
  <c r="B25" i="5" s="1"/>
  <c r="H21" i="3"/>
  <c r="G21" i="3"/>
  <c r="F21" i="3"/>
  <c r="E21" i="3"/>
  <c r="D21" i="3"/>
  <c r="C21" i="3"/>
  <c r="B21" i="3"/>
  <c r="G72" i="4" s="1"/>
  <c r="H20" i="3"/>
  <c r="G20" i="3"/>
  <c r="F20" i="3"/>
  <c r="E20" i="3"/>
  <c r="D20" i="3"/>
  <c r="C20" i="3"/>
  <c r="B20" i="3"/>
  <c r="E23" i="5" s="1"/>
  <c r="H19" i="3"/>
  <c r="G19" i="3"/>
  <c r="F19" i="3"/>
  <c r="E19" i="3"/>
  <c r="D19" i="3"/>
  <c r="C19" i="3"/>
  <c r="B19" i="3"/>
  <c r="E70" i="4" s="1"/>
  <c r="H18" i="3"/>
  <c r="G18" i="3"/>
  <c r="F18" i="3"/>
  <c r="E18" i="3"/>
  <c r="D18" i="3"/>
  <c r="C18" i="3"/>
  <c r="B18" i="3"/>
  <c r="G21" i="5" s="1"/>
  <c r="H17" i="3"/>
  <c r="G17" i="3"/>
  <c r="F17" i="3"/>
  <c r="E17" i="3"/>
  <c r="D17" i="3"/>
  <c r="C17" i="3"/>
  <c r="B17" i="3"/>
  <c r="D20" i="5" s="1"/>
  <c r="F16" i="3"/>
  <c r="G16" i="3" s="1"/>
  <c r="E16" i="3"/>
  <c r="D16" i="3"/>
  <c r="C16" i="3"/>
  <c r="B16" i="3"/>
  <c r="B67" i="4" s="1"/>
  <c r="E15" i="3"/>
  <c r="D15" i="3"/>
  <c r="F15" i="3" s="1"/>
  <c r="C15" i="3"/>
  <c r="B15" i="3"/>
  <c r="F18" i="5" s="1"/>
  <c r="E14" i="3"/>
  <c r="D14" i="3"/>
  <c r="F14" i="3" s="1"/>
  <c r="C14" i="3"/>
  <c r="B14" i="3"/>
  <c r="B17" i="5" s="1"/>
  <c r="E13" i="3"/>
  <c r="F13" i="3" s="1"/>
  <c r="D13" i="3"/>
  <c r="C13" i="3"/>
  <c r="B13" i="3"/>
  <c r="B7" i="3"/>
  <c r="F109" i="2"/>
  <c r="E109" i="2"/>
  <c r="D72" i="5" s="1"/>
  <c r="E90" i="2"/>
  <c r="D90" i="2"/>
  <c r="H73" i="2"/>
  <c r="G73" i="2"/>
  <c r="F32" i="2"/>
  <c r="E32" i="2"/>
  <c r="D32" i="2"/>
  <c r="C32" i="2"/>
  <c r="G16" i="2"/>
  <c r="D54" i="4" s="1"/>
  <c r="E16" i="2"/>
  <c r="D10" i="5" s="1"/>
  <c r="G15" i="3" l="1"/>
  <c r="H15" i="3"/>
  <c r="H13" i="3"/>
  <c r="F7" i="3"/>
  <c r="G13" i="3"/>
  <c r="F48" i="4"/>
  <c r="F66" i="4"/>
  <c r="G66" i="4" s="1"/>
  <c r="H66" i="4" s="1"/>
  <c r="C65" i="4"/>
  <c r="H14" i="3"/>
  <c r="G14" i="3"/>
  <c r="D47" i="4"/>
  <c r="C25" i="4"/>
  <c r="C29" i="4" s="1"/>
  <c r="H16" i="3"/>
  <c r="H29" i="3"/>
  <c r="I29" i="3" s="1"/>
  <c r="H7" i="3"/>
  <c r="K33" i="3"/>
  <c r="K37" i="3"/>
  <c r="K41" i="3"/>
  <c r="B66" i="4"/>
  <c r="C67" i="4"/>
  <c r="D68" i="4"/>
  <c r="E69" i="4"/>
  <c r="F70" i="4"/>
  <c r="G71" i="4"/>
  <c r="H72" i="4"/>
  <c r="D17" i="5"/>
  <c r="G18" i="5"/>
  <c r="E20" i="5"/>
  <c r="B22" i="5"/>
  <c r="F23" i="5"/>
  <c r="D25" i="5"/>
  <c r="H27" i="3"/>
  <c r="I27" i="3" s="1"/>
  <c r="J30" i="3"/>
  <c r="H31" i="3"/>
  <c r="I31" i="3" s="1"/>
  <c r="J34" i="3"/>
  <c r="H35" i="3"/>
  <c r="I35" i="3" s="1"/>
  <c r="J38" i="3"/>
  <c r="H39" i="3"/>
  <c r="I39" i="3" s="1"/>
  <c r="B65" i="4"/>
  <c r="C66" i="4"/>
  <c r="D67" i="4"/>
  <c r="E68" i="4"/>
  <c r="F69" i="4"/>
  <c r="G70" i="4"/>
  <c r="H71" i="4"/>
  <c r="B73" i="4"/>
  <c r="E17" i="5"/>
  <c r="B19" i="5"/>
  <c r="F20" i="5"/>
  <c r="D22" i="5"/>
  <c r="G23" i="5"/>
  <c r="E25" i="5"/>
  <c r="B16" i="5"/>
  <c r="F17" i="5"/>
  <c r="D19" i="5"/>
  <c r="G20" i="5"/>
  <c r="E22" i="5"/>
  <c r="B24" i="5"/>
  <c r="F25" i="5"/>
  <c r="G69" i="4"/>
  <c r="H28" i="3"/>
  <c r="I28" i="3" s="1"/>
  <c r="H32" i="3"/>
  <c r="I32" i="3" s="1"/>
  <c r="H36" i="3"/>
  <c r="I36" i="3" s="1"/>
  <c r="H40" i="3"/>
  <c r="I40" i="3" s="1"/>
  <c r="C64" i="4"/>
  <c r="D65" i="4"/>
  <c r="F65" i="4" s="1"/>
  <c r="G65" i="4" s="1"/>
  <c r="H65" i="4" s="1"/>
  <c r="E66" i="4"/>
  <c r="F67" i="4"/>
  <c r="G68" i="4"/>
  <c r="H69" i="4"/>
  <c r="B71" i="4"/>
  <c r="C72" i="4"/>
  <c r="D73" i="4"/>
  <c r="D16" i="5"/>
  <c r="G17" i="5"/>
  <c r="E19" i="5"/>
  <c r="B21" i="5"/>
  <c r="F22" i="5"/>
  <c r="D24" i="5"/>
  <c r="G25" i="5"/>
  <c r="H68" i="4"/>
  <c r="C71" i="4"/>
  <c r="D72" i="4"/>
  <c r="E16" i="5"/>
  <c r="B18" i="5"/>
  <c r="F19" i="5"/>
  <c r="D21" i="5"/>
  <c r="G22" i="5"/>
  <c r="E24" i="5"/>
  <c r="E64" i="4"/>
  <c r="F64" i="4" s="1"/>
  <c r="B69" i="4"/>
  <c r="C70" i="4"/>
  <c r="D71" i="4"/>
  <c r="E72" i="4"/>
  <c r="F73" i="4"/>
  <c r="F16" i="5"/>
  <c r="D18" i="5"/>
  <c r="G19" i="5"/>
  <c r="E21" i="5"/>
  <c r="B23" i="5"/>
  <c r="F24" i="5"/>
  <c r="B68" i="4"/>
  <c r="C69" i="4"/>
  <c r="D70" i="4"/>
  <c r="E71" i="4"/>
  <c r="F72" i="4"/>
  <c r="G73" i="4"/>
  <c r="G16" i="5"/>
  <c r="E18" i="5"/>
  <c r="B20" i="5"/>
  <c r="F21" i="5"/>
  <c r="D23" i="5"/>
  <c r="G24" i="5"/>
  <c r="C68" i="4"/>
  <c r="D69" i="4"/>
  <c r="F71" i="4"/>
  <c r="H73" i="4"/>
  <c r="G64" i="4" l="1"/>
  <c r="D7" i="3"/>
  <c r="D54" i="3" s="1"/>
  <c r="D27" i="5"/>
  <c r="D71" i="5" s="1"/>
  <c r="H64" i="4"/>
  <c r="D31" i="5"/>
  <c r="D49" i="4"/>
  <c r="G67" i="4"/>
  <c r="H67" i="4" s="1"/>
  <c r="G51" i="3"/>
  <c r="E50" i="3"/>
  <c r="C49" i="3"/>
  <c r="G47" i="3"/>
  <c r="E47" i="3"/>
  <c r="F51" i="3"/>
  <c r="D50" i="3"/>
  <c r="H50" i="3" s="1"/>
  <c r="F47" i="3"/>
  <c r="C50" i="3"/>
  <c r="D51" i="3"/>
  <c r="H51" i="3" s="1"/>
  <c r="E51" i="3"/>
  <c r="F48" i="3"/>
  <c r="D48" i="3"/>
  <c r="H48" i="3" s="1"/>
  <c r="C51" i="3"/>
  <c r="G49" i="3"/>
  <c r="E48" i="3"/>
  <c r="C47" i="3"/>
  <c r="G50" i="3"/>
  <c r="E49" i="3"/>
  <c r="C48" i="3"/>
  <c r="F50" i="3"/>
  <c r="D49" i="3"/>
  <c r="H49" i="3" s="1"/>
  <c r="G48" i="3"/>
  <c r="D47" i="3"/>
  <c r="H47" i="3" s="1"/>
  <c r="F49" i="3"/>
  <c r="D51" i="4" l="1"/>
  <c r="D33" i="5"/>
  <c r="D28" i="5"/>
  <c r="D73" i="5" s="1"/>
  <c r="D55" i="3"/>
  <c r="E55" i="3"/>
  <c r="D75" i="5"/>
  <c r="D70" i="3"/>
  <c r="D35" i="5" l="1"/>
  <c r="D74" i="5" s="1"/>
  <c r="D56" i="3"/>
</calcChain>
</file>

<file path=xl/sharedStrings.xml><?xml version="1.0" encoding="utf-8"?>
<sst xmlns="http://schemas.openxmlformats.org/spreadsheetml/2006/main" count="906" uniqueCount="684">
  <si>
    <t>📋 GUIDE D'UTILISATION — ANNEXE 22</t>
  </si>
  <si>
    <t>Grille de suivi de la formation continue — Cabinet 100% numérique</t>
  </si>
  <si>
    <t>OBJECTIF DE L'OUTIL</t>
  </si>
  <si>
    <t>Cet outil permet à l'expert-comptable de piloter l'intégralité du processus de formation continue de son cabinet : diagnostic de conformité (Art. 22 Code de déontologie), cartographie des compétences, scoring des priorités, plan d'action budgété avec financement OPCO Atlas, et synthèse imprimable pour le dossier qualité NPMQ. Un seul onglet de saisie alimente automatiquement les 3 onglets suivants.</t>
  </si>
  <si>
    <t>ARCHITECTURE — FLUX DE DONNÉES</t>
  </si>
  <si>
    <t>① SAISIE</t>
  </si>
  <si>
    <t>② DIAGNOSTIC</t>
  </si>
  <si>
    <t>③ PLAN D'ACTION</t>
  </si>
  <si>
    <t>④ FICHE QUALITÉ</t>
  </si>
  <si>
    <t>⑤ _REF</t>
  </si>
  <si>
    <t>Seul onglet modifiable
■ Jaune = saisie manuelle
■ Gris = calcul auto
• Paramètres cabinet
• Effectif &amp; collaborateurs
• Évaluation compétences
• Formations réalisées
• Formations planifiées
• AFEST internes</t>
  </si>
  <si>
    <t>100% automatisé — 🔒 Protégé
• Conformité Art. 22 CD
  (120h / 3 ans glissants)
• Cartographie compétences
• Radar de compétences
• TOP 5 priorités formation
  (scoring multicritère)</t>
  </si>
  <si>
    <t>100% automatisé — 🔒 Protégé
• Budget formations ext.
• Financement OPCO Atlas
  (PDC + DEC/CAC)
• Économies AFEST
• Investissement net
• Suivi comblement déficit</t>
  </si>
  <si>
    <t>100% automatisé — 🔒 Protégé
• Fiche cabinet
• Conformité par collab.
• Taux avant/après plan
• Budget consolidé
• Checklist pièces (NPMQ §44)
• Conclusion dynamique</t>
  </si>
  <si>
    <t>Documentation technique
• Fondement réglementaire
• Méthodologie scoring
• Sources OPCO Atlas
• Taux horaire complet
• Données OMECA
• Articulation Annexe 23</t>
  </si>
  <si>
    <t>→</t>
  </si>
  <si>
    <t>MARCHE À SUIVRE</t>
  </si>
  <si>
    <t>Étape 1</t>
  </si>
  <si>
    <t>Ouvrir l'onglet SAISIE</t>
  </si>
  <si>
    <t>Renseigner les paramètres du cabinet (section A) : nom, N° OEC, masse salariale, OPCO.</t>
  </si>
  <si>
    <t>Étape 2</t>
  </si>
  <si>
    <t>Saisir l'effectif</t>
  </si>
  <si>
    <t>Compléter la section B : prénom, nom, grade, contrat, ETP, objectif 3 ans, heures par période.</t>
  </si>
  <si>
    <t>Étape 3</t>
  </si>
  <si>
    <t>Évaluer les compétences</t>
  </si>
  <si>
    <t>Section C : noter chaque collaborateur de 1 à 5 sur les 16 domaines. Fixer cible, criticité, urgence.</t>
  </si>
  <si>
    <t>Étape 4</t>
  </si>
  <si>
    <t>Saisir les formations</t>
  </si>
  <si>
    <t>Section D (réalisées) + Section E (planifiées S2) + Section F (AFEST internes).</t>
  </si>
  <si>
    <t>Étape 5</t>
  </si>
  <si>
    <t>Consulter le diagnostic</t>
  </si>
  <si>
    <t>Onglet DIAGNOSTIC : écarts conformité, cartographie compétences, radar, TOP 5 priorités.</t>
  </si>
  <si>
    <t>Étape 6</t>
  </si>
  <si>
    <t>Lire le plan d'action</t>
  </si>
  <si>
    <t>Onglet PLAN D'ACTION : budget, OPCO Atlas, économies AFEST, investissement net, comblement.</t>
  </si>
  <si>
    <t>Étape 7</t>
  </si>
  <si>
    <t>Imprimer la fiche qualité</t>
  </si>
  <si>
    <t>Onglet FICHE QUALITÉ : prêt pour le dossier qualité NPMQ. Signer et dater en bas de page.</t>
  </si>
  <si>
    <t>⚠️ PREMIÈRE UTILISATION : avant de saisir vos propres données, effacer l'intégralité des cellules jaunes de l'onglet SAISIE (sections A à F). Les données pré-remplies (Cabinet Digit Expertise, collaborateurs Dupré / Martin / Lambert / Renaud, formations, évaluations) sont des exemples fictifs destinés à illustrer le fonctionnement de l'outil. Une fois les cellules jaunes vidées, les onglets DIAGNOSTIC, PLAN D'ACTION et FICHE QUALITÉ se réinitialiseront automatiquement.</t>
  </si>
  <si>
    <t>RÉFÉRENCES NORMATIVES CLÉS</t>
  </si>
  <si>
    <t>Art. 22 Code de déontologie</t>
  </si>
  <si>
    <t>Formation continue ≈ 120h / 3 ans glissants</t>
  </si>
  <si>
    <t>Décret 2012-432 mod. 2023-388 — éd. janv. 2026</t>
  </si>
  <si>
    <t>NPMQ 2025 §21-25</t>
  </si>
  <si>
    <t>Compétences, plan formation, évaluation, ressources</t>
  </si>
  <si>
    <t>Arrêté du 30 mai 2024, applicable 01/01/2025</t>
  </si>
  <si>
    <t>Art. 148 Code de déontologie</t>
  </si>
  <si>
    <t>Responsabilité EC sur la compétence de l'équipe</t>
  </si>
  <si>
    <t>Éd. janv. 2026</t>
  </si>
  <si>
    <t>Art. L6313-2 Code du travail</t>
  </si>
  <si>
    <t>AFEST — Formation en situation de travail</t>
  </si>
  <si>
    <t>Loi n°2018-771 du 5 sept. 2018</t>
  </si>
  <si>
    <t>Art. L561-32 CMF</t>
  </si>
  <si>
    <t>Formation LCB-FT annuelle obligatoire</t>
  </si>
  <si>
    <t>Code monétaire et financier</t>
  </si>
  <si>
    <t>Règl. (UE) 2024/1689 art. 4</t>
  </si>
  <si>
    <t>AI literacy — Obligation depuis février 2025</t>
  </si>
  <si>
    <t>AI Act — Parlement européen</t>
  </si>
  <si>
    <t>Art. L6315-1 Code du travail</t>
  </si>
  <si>
    <t>Entretien professionnel biennal</t>
  </si>
  <si>
    <t>Évaluation compétences + besoins formation</t>
  </si>
  <si>
    <t>📋 MODE D'EMPLOI : Saisir uniquement les cellules jaunes de cet onglet → Tout le reste se calcule automatiquement dans les 3 onglets suivants</t>
  </si>
  <si>
    <t>ANNEXE 22 — GRILLE DE SUIVI FORMATION CONTINUE</t>
  </si>
  <si>
    <t>Cabinet 100% numérique — ■ Cases jaunes = saisie manuelle • ■ Cases grises = calcul automatique</t>
  </si>
  <si>
    <t>Art. 22 Code de déontologie (Décret 2012-432 mod. 2023-388 — éd. janv. 2026) • NPMQ 2025 §21-25 • Règl. (UE) 2024/1689 art. 4 — AI literacy</t>
  </si>
  <si>
    <t>A. MON CABINET</t>
  </si>
  <si>
    <t>Paramètre</t>
  </si>
  <si>
    <t>Valeur</t>
  </si>
  <si>
    <t>Note / Source</t>
  </si>
  <si>
    <t>Nom du cabinet</t>
  </si>
  <si>
    <t>Cabinet X</t>
  </si>
  <si>
    <t>Raison sociale fictive</t>
  </si>
  <si>
    <t>N° inscription OEC</t>
  </si>
  <si>
    <t>IDF-XXXXX</t>
  </si>
  <si>
    <t>Région + numéro</t>
  </si>
  <si>
    <t>Expert-comptable titulaire</t>
  </si>
  <si>
    <t>M. Dupré</t>
  </si>
  <si>
    <t>Responsable qualité NPMQ §21</t>
  </si>
  <si>
    <t>Masse salariale brute (€/an)</t>
  </si>
  <si>
    <t>Tous contrats (comptes 641)</t>
  </si>
  <si>
    <t>OPCO de branche</t>
  </si>
  <si>
    <t>OPCO Atlas</t>
  </si>
  <si>
    <t>CCN 3020 IDCC 0787 — Accord n°48 du 05/12/2025 (minima +2,9% en 2026)</t>
  </si>
  <si>
    <t>Plafond PDC annuel OPCO (€ HT)</t>
  </si>
  <si>
    <t>OPCO Atlas 2026 : 2 800€ HT/an (&lt;11 sal.) — opco-atlas.fr MAJ 05/01/2026</t>
  </si>
  <si>
    <t>Plafond stage DEC/CAC (€/sal/an)</t>
  </si>
  <si>
    <t>OPCO Atlas 2026 : 1 000€ HT/sal/an — opco-atlas.fr MAJ 05/01/2026</t>
  </si>
  <si>
    <t>EFFECTIF</t>
  </si>
  <si>
    <t>ETP</t>
  </si>
  <si>
    <t>Taux hor. complet</t>
  </si>
  <si>
    <t>Formule : Masse salariale brute / (ETP × 1 607h) × 1,45 × 1,18. Soit : 185 000€ / (3,8 × 1 607) × 1,45 × 1,18 ≈ 52€/h. Charges patronales 2026 : 43-45% (coef. 1,45 — URSSAF / LFSS 2026, hausse cotis. vieillesse déplaf. 2,02→2,11%). Frais structure : 18% (coef. 1,18 — benchmark OMECA S2 2025 cabinets &lt;10 sal.).</t>
  </si>
  <si>
    <t>B. MES COLLABORATEURS</t>
  </si>
  <si>
    <t>Prénom</t>
  </si>
  <si>
    <t>Nom</t>
  </si>
  <si>
    <t>Grade</t>
  </si>
  <si>
    <t>Contrat</t>
  </si>
  <si>
    <t>Obj. 3 ans (h)</t>
  </si>
  <si>
    <t>Heures 2024</t>
  </si>
  <si>
    <t>Heures 2025</t>
  </si>
  <si>
    <t>Heures S1 2026</t>
  </si>
  <si>
    <t>Note</t>
  </si>
  <si>
    <t>M.</t>
  </si>
  <si>
    <t>Dupré</t>
  </si>
  <si>
    <t>Expert-comptable</t>
  </si>
  <si>
    <t>Gérant TNS</t>
  </si>
  <si>
    <t>120h/3 ans (art. 22 CD éd. janv. 2026). S1 2026 = 7h (LCB-FT 3,5h row 65 + webinaire CROEC-IDF 3,5h row 70). Déficit résiduel comblé après exécution intégrale du plan d'action S2 2026.</t>
  </si>
  <si>
    <t>Lucas</t>
  </si>
  <si>
    <t>Martin</t>
  </si>
  <si>
    <t>Apprenti</t>
  </si>
  <si>
    <t>Alternance</t>
  </si>
  <si>
    <t>40h/an proratisé (apprenti sept. 2025, 0,8 ETP). Non soumis au seuil 60h structurées. Totaux par période = heures homologuées OEC uniquement (17,5h). Les heures non homologuées (onboarding non structuré 7h row 60 + autoformation libre 3h row 69) figurent au registre (section D) mais sont exclues du décompte Art. 22 CD conformément à la règle _REF §8.</t>
  </si>
  <si>
    <t>Marie</t>
  </si>
  <si>
    <t>Lambert</t>
  </si>
  <si>
    <t>Confirmée (5 ans)</t>
  </si>
  <si>
    <t>CDI</t>
  </si>
  <si>
    <t>120h/3 ans. Heures homologuées OEC : 77h/77h = 100%.</t>
  </si>
  <si>
    <t>Thomas</t>
  </si>
  <si>
    <t>Renaud</t>
  </si>
  <si>
    <t>Junior (1 an)</t>
  </si>
  <si>
    <t>120h/3 ans. Heures homologuées OEC : 49h/49h = 100%.</t>
  </si>
  <si>
    <t>Équipe</t>
  </si>
  <si>
    <t>Valeur fixe pour les formations collectives (ne pas supprimer)</t>
  </si>
  <si>
    <t>C. ÉVALUATIONS DES COMPÉTENCES (note 1 à 5)</t>
  </si>
  <si>
    <t>BARÈME : 1=Découverte (notions théoriques) | 2=Initiation (pratique supervisée) | 3=Pratique courante (autonomie avec contrôle) | 4=Maîtrise (autonomie complète) | 5=Expertise (forme les autres, référent). Évaluation croisée : auto-évaluation collaborateur + validation managériale lors de l'entretien professionnel biennal (art. L6315-1 CT). Méthode : NPMQ 2025 §23 — « évaluation des compétences et besoins en formation ».</t>
  </si>
  <si>
    <t>Domaine</t>
  </si>
  <si>
    <t>Cible</t>
  </si>
  <si>
    <t>Criticité</t>
  </si>
  <si>
    <t>Coef.</t>
  </si>
  <si>
    <t>Urgence</t>
  </si>
  <si>
    <t>CRITICITÉ : Standard (coef.1) = compétence métier classique | Stratégique (coef.2) = différenciation numérique du cabinet | CRITIQUE (coef.3) = obligation réglementaire ou risque pénal/disciplinaire. URGENCE : 1=amélioration continue (&gt;12 mois) | 2=risque opérationnel identifié (6-12 mois) | 3=échéance réglementaire &lt;6 mois (ex: e-facture sept. 2026, AI literacy fév. 2025). Critères fixés lors de la revue annuelle qualité NPMQ §25.</t>
  </si>
  <si>
    <t>Comptabilité générale</t>
  </si>
  <si>
    <t>Standard</t>
  </si>
  <si>
    <t>TVA &amp; Fiscalité</t>
  </si>
  <si>
    <t>Paie &amp; Social</t>
  </si>
  <si>
    <t>Comptes annuels</t>
  </si>
  <si>
    <t>Révision</t>
  </si>
  <si>
    <t>Facture électronique (PA)</t>
  </si>
  <si>
    <t>CRITIQUE</t>
  </si>
  <si>
    <t>RGPD &amp; Protection données</t>
  </si>
  <si>
    <t>Cybersécurité</t>
  </si>
  <si>
    <t>LCB-FT / Tracfin</t>
  </si>
  <si>
    <t>Outils SaaS / Cloud</t>
  </si>
  <si>
    <t>Stratégique</t>
  </si>
  <si>
    <t>IA &amp; Automatisation</t>
  </si>
  <si>
    <t>Relation client digitale</t>
  </si>
  <si>
    <t>GED &amp; Archivage probant</t>
  </si>
  <si>
    <t>Déontologie</t>
  </si>
  <si>
    <t>Signature électronique</t>
  </si>
  <si>
    <t>Communication digitale</t>
  </si>
  <si>
    <t>D. FORMATIONS RÉALISÉES</t>
  </si>
  <si>
    <t>Date</t>
  </si>
  <si>
    <t>Collaborateur (Nom)</t>
  </si>
  <si>
    <t>Intitulé</t>
  </si>
  <si>
    <t>Organisme</t>
  </si>
  <si>
    <t>Durée (h)</t>
  </si>
  <si>
    <t>Coût HT €</t>
  </si>
  <si>
    <t>Homol. OEC</t>
  </si>
  <si>
    <t>Art. 22</t>
  </si>
  <si>
    <t>2024 (récap.)</t>
  </si>
  <si>
    <t>Multi</t>
  </si>
  <si>
    <t>LF2024, LCB-FT, Congrès OEC, ANSSI, IFRS (5 formations)</t>
  </si>
  <si>
    <t>CFPC / CNOEC / Lefebvre Dalloz</t>
  </si>
  <si>
    <t>Oui</t>
  </si>
  <si>
    <t>Formations antérieures justifiées par : attestations OF transmises à l'embauche, historique CPF (moncompteformation.gouv.fr), certificats CFPC/CROEC. Pièces classées en GED cabinet (cf. checklist FICHE QUALITÉ — « Attestations de formation »).</t>
  </si>
  <si>
    <t>Compta, TVA intl, Paie, SaaS, LCB-FT, RGPD, Révision IA (7 form.)</t>
  </si>
  <si>
    <t>CFPC / Lefebvre Dalloz / ENOES</t>
  </si>
  <si>
    <t>French GAAP, Fiscalité, Prise en main SaaS (3 formations)</t>
  </si>
  <si>
    <t>ENOES / CFPC / Interne</t>
  </si>
  <si>
    <t>Les 28h incluent 7h de prise en main SaaS initialement non structurée, requalifiée en AFEST interne (art. L6313-2 CT) : objectifs pédagogiques, programme et évaluation formalisés a posteriori lors de l'intégration au cabinet en 09/2025. Conforme NPMQ §22 (formalisation des apprentissages).</t>
  </si>
  <si>
    <t>Jan.-Août 2025</t>
  </si>
  <si>
    <t>E-facture, LF2025, IA intro, Parcours créateur (4 formations)</t>
  </si>
  <si>
    <t>CFPC / Lefebvre / OEC</t>
  </si>
  <si>
    <t>LF2025, E-facture prépa, Arrêté comptes, Cloud collab. (4 form.)</t>
  </si>
  <si>
    <t>Lefebvre / CFPC / Qualiopi</t>
  </si>
  <si>
    <t>Révision comptes, Paie et DSN niveau 1 (2 formations)</t>
  </si>
  <si>
    <t>ENOES / CFPC</t>
  </si>
  <si>
    <t>--- Formations post-création cabinet (sept. 2025 →) ---</t>
  </si>
  <si>
    <t>15/09/2025</t>
  </si>
  <si>
    <t>Intégration</t>
  </si>
  <si>
    <t>Parcours onboarding cabinet</t>
  </si>
  <si>
    <t>Interne (non structuré)</t>
  </si>
  <si>
    <t>Non</t>
  </si>
  <si>
    <t>Non *</t>
  </si>
  <si>
    <t>10/10/2025</t>
  </si>
  <si>
    <t>Fiscalité</t>
  </si>
  <si>
    <t>Actualité LF 2026</t>
  </si>
  <si>
    <t>Lefebvre Dalloz</t>
  </si>
  <si>
    <t>15/10/2025</t>
  </si>
  <si>
    <t>Congrès CROEC 2025</t>
  </si>
  <si>
    <t>CROEC Île-de-France</t>
  </si>
  <si>
    <t>05/11/2025</t>
  </si>
  <si>
    <t>Comptabilité</t>
  </si>
  <si>
    <t>Révision des fondamentaux</t>
  </si>
  <si>
    <t>ENOES</t>
  </si>
  <si>
    <t>15/11/2025</t>
  </si>
  <si>
    <t>E-facture</t>
  </si>
  <si>
    <t>Réforme FE 2026</t>
  </si>
  <si>
    <t>CNOEC (CFPC)</t>
  </si>
  <si>
    <t>12/01/2026</t>
  </si>
  <si>
    <t>LCB-FT</t>
  </si>
  <si>
    <t>Vigilance renforcée 2026</t>
  </si>
  <si>
    <t>CFPC / CSOEC</t>
  </si>
  <si>
    <t>25/01/2026</t>
  </si>
  <si>
    <t>IA</t>
  </si>
  <si>
    <t>Prompt engineering (auto)</t>
  </si>
  <si>
    <t>Autoformation libre</t>
  </si>
  <si>
    <t>10/02/2026</t>
  </si>
  <si>
    <t>Numérique</t>
  </si>
  <si>
    <t>Transformation numérique du cabinet EC</t>
  </si>
  <si>
    <t>CROEC Île-de-France (webinaire gratuit)</t>
  </si>
  <si>
    <t>Webinaire CROEC-IDF gratuit — Homologué formation continue OEC. Distanciel synchrone.</t>
  </si>
  <si>
    <t>SOUS-TOTAUX FORMATIONS RÉALISÉES</t>
  </si>
  <si>
    <t>* Non comptabilisable Art. 22 CD</t>
  </si>
  <si>
    <t>E. FORMATIONS PLANIFIÉES (S2 2026)</t>
  </si>
  <si>
    <t>CHARGE FORMATION RENAUD : 56h ext. planifiées dont 17,5h distancielles asynchrones (campusAtlas, microlearningAtlas, PIX I) = 0 jour d'absence. Formations synchrones : 38,5h = 5,5 jours sur S2 2026 (soit 1 jour/mois). Compatible avec planning production junior (NPMQ §21 — formation = investissement, pas coût).</t>
  </si>
  <si>
    <t>Formation</t>
  </si>
  <si>
    <t>Type gains</t>
  </si>
  <si>
    <t>Impact estimé</t>
  </si>
  <si>
    <t>Mois prévu</t>
  </si>
  <si>
    <t>IA dans l'exercice professionnel</t>
  </si>
  <si>
    <t>CFPC (catalogue 2026)</t>
  </si>
  <si>
    <t>Productivité</t>
  </si>
  <si>
    <t>≈ 2h/sem économisées</t>
  </si>
  <si>
    <t>Sept.</t>
  </si>
  <si>
    <t>Obligation AI literacy art. 4 Règl. (UE) 2024/1689 — échéance fév. 2025</t>
  </si>
  <si>
    <t>Cybersécurité des cabinets</t>
  </si>
  <si>
    <t>ANSSI / Cybermalveillance</t>
  </si>
  <si>
    <t>Cyber</t>
  </si>
  <si>
    <t>Prévention</t>
  </si>
  <si>
    <t>Réduction risque incident</t>
  </si>
  <si>
    <t>Oct.</t>
  </si>
  <si>
    <t>RGPD — Conformité cabinet EC</t>
  </si>
  <si>
    <t>Impact RGPD</t>
  </si>
  <si>
    <t>RGPD</t>
  </si>
  <si>
    <t>Conformité</t>
  </si>
  <si>
    <t>Mise en conformité CNIL</t>
  </si>
  <si>
    <t>Nov.</t>
  </si>
  <si>
    <t>E-facture 2026 — Réforme PA</t>
  </si>
  <si>
    <t>≈ 1h/sem économisées</t>
  </si>
  <si>
    <t>LCB-FT vigilance annuelle</t>
  </si>
  <si>
    <t>Obligation Art. L561-32</t>
  </si>
  <si>
    <t>Juil.</t>
  </si>
  <si>
    <t>Déontologie &amp; normes 2026</t>
  </si>
  <si>
    <t>Mise à jour annuelle</t>
  </si>
  <si>
    <t>Août</t>
  </si>
  <si>
    <t>Signature électronique avancée</t>
  </si>
  <si>
    <t>Organisme Qualiopi</t>
  </si>
  <si>
    <t>Signature</t>
  </si>
  <si>
    <t>Compétence</t>
  </si>
  <si>
    <t>eIDAS 2.0 / qualification</t>
  </si>
  <si>
    <t>GED &amp; archivage probant</t>
  </si>
  <si>
    <t>GED</t>
  </si>
  <si>
    <t>NF Z42-013</t>
  </si>
  <si>
    <t>Déc.</t>
  </si>
  <si>
    <t>Comptabilité avancée — Arrêté et consolidation</t>
  </si>
  <si>
    <t>Révision + comptes annuels</t>
  </si>
  <si>
    <t>Formation distancielle asynchrone : intégrable dans le temps de travail sans absence. Aucun coût d'opportunité production.</t>
  </si>
  <si>
    <t>Outils SaaS avancés — Automatisation flux</t>
  </si>
  <si>
    <t>campusAtlas (100% pris en charge)</t>
  </si>
  <si>
    <t>SaaS</t>
  </si>
  <si>
    <t>Gratuit Atlas &lt;50 sal.</t>
  </si>
  <si>
    <t>Distanciel asynchrone — campusAtlas 100% (&lt;50 sal.)</t>
  </si>
  <si>
    <t>Communication digitale — Relation client</t>
  </si>
  <si>
    <t>microlearningAtlas</t>
  </si>
  <si>
    <t>Communication</t>
  </si>
  <si>
    <t>Parcours gratuit 1-49 sal.</t>
  </si>
  <si>
    <t>Distanciel asynchrone — microlearningAtlas gratuit 1-49 sal.</t>
  </si>
  <si>
    <t>Veille réglementaire IA — AI Act application</t>
  </si>
  <si>
    <t>Webinaire CNOEC (gratuit inscrit)</t>
  </si>
  <si>
    <t>Art. 4 Règl. UE 2024/1689</t>
  </si>
  <si>
    <t>PIX I Atlas — Évaluation compétences numériques</t>
  </si>
  <si>
    <t>PIX I Atlas (100% gratuit, toutes tailles)</t>
  </si>
  <si>
    <t>Gratuit — opco-atlas.fr MAJ 05/01/2026</t>
  </si>
  <si>
    <t>En ligne, asynchrone — PIX I Atlas opco-atlas.fr</t>
  </si>
  <si>
    <t>SOUS-TOTAUX FORMATIONS PLANIFIÉES</t>
  </si>
  <si>
    <t>F. FORMATIONS INTERNES STRUCTURÉES (AFEST / Tutorat) — 7 sessions</t>
  </si>
  <si>
    <t>Principe : formations ext. → montée compétences → cascade interne AFEST. Éco. collectives 1× coût catalogue.</t>
  </si>
  <si>
    <t>AFEST : Art. L6313-2 Code du travail (Loi 2018-771) — Atlas 2026 : 20€ HT/h max 150h dans plafond PDC. microlearningAtlas cybersécurité 100% gratuit 1-49 sal.</t>
  </si>
  <si>
    <t>Formateur (Nom)</t>
  </si>
  <si>
    <t>Apprenant (Nom)</t>
  </si>
  <si>
    <t>Éco. vs externe € *</t>
  </si>
  <si>
    <t>* « Éco. vs externe » = coût catalogue pour 1 session. Sessions collectives : éco. sur 1ère ligne, 0€ sur les suivantes.</t>
  </si>
  <si>
    <t>IA &amp; Prompting SaaS — Mentorat inversé</t>
  </si>
  <si>
    <t>Mentorat inversé : compétences IA natives (DSCG option IA). Art. L6313-2 CT.</t>
  </si>
  <si>
    <t>Révision comptable — Tutorat</t>
  </si>
  <si>
    <t>Tutorat classique : Lambert (5 ans exp.) transmet à Martin (apprenti).</t>
  </si>
  <si>
    <t>Fiscalité appliquée — Cas pratiques</t>
  </si>
  <si>
    <t>Lambert (4/5 TVA) forme Renaud (2/5). Cas réels LF 2026.</t>
  </si>
  <si>
    <t>IA appliquée — Prompts comptabilité</t>
  </si>
  <si>
    <t>Cascade post-formation : Lambert (1→3/5 après 14h ext. row 77) transmet à Renaud. Art. L6313-2 CT.</t>
  </si>
  <si>
    <t>Cybersécurité — Bonnes pratiques cabinet</t>
  </si>
  <si>
    <t>Session collective (1→3). Cascade : Lambert (2→3/5 après 7h ext. row 78) forme l'équipe. Éco. 1×.</t>
  </si>
  <si>
    <t>→ Même session collective que row 99.</t>
  </si>
  <si>
    <t>E-facture PA — Cascade post-formation</t>
  </si>
  <si>
    <t>Cascade post-formation : Dupré (3→4/5 après 14h ext.) forme l'équipe. Éco. 1×.</t>
  </si>
  <si>
    <t>→ Même session collective que row 102.</t>
  </si>
  <si>
    <t>Déontologie — Actualités normes 2026</t>
  </si>
  <si>
    <t>Dupré (4/5 déontologie) actualise l'équipe. Éco. 1×.</t>
  </si>
  <si>
    <t>→ Même session collective que row 105.</t>
  </si>
  <si>
    <t>TOTAL ÉCONOMIES FORMATIONS INTERNES</t>
  </si>
  <si>
    <t>Texte bleu = valeur saisie (input)</t>
  </si>
  <si>
    <t>E109 = heures-apprenant cumulées (13 binômes). Charge formateur réelle = 52,5h (7 sessions, cf. row 110).</t>
  </si>
  <si>
    <t>dont heures-formateur (7 sessions distinctes)</t>
  </si>
  <si>
    <t>Sessions collectives (rows 99-101, 102-104, 105-107) : 1 session = 1 créneau formateur pour 3 apprenants.</t>
  </si>
  <si>
    <t>DIAGNOSTIC AUTOMATIQUE — FORMATION CONTINUE</t>
  </si>
  <si>
    <t>⚠️ Cet onglet est 100% automatisé depuis l'onglet SAISIE — Ne rien modifier ici</t>
  </si>
  <si>
    <t>INDICATEURS CLÉS</t>
  </si>
  <si>
    <t>Effectif ETP</t>
  </si>
  <si>
    <t>Conformes</t>
  </si>
  <si>
    <t>Heures manquantes</t>
  </si>
  <si>
    <t>A. CONFORMITÉ FORMATION CONTINUE (Art. 22 Code de déontologie)</t>
  </si>
  <si>
    <t>Obligation : 120h/3 ans glissants (≈ 40h/an) — Contrôle qualité OEC</t>
  </si>
  <si>
    <t>Collaborateur</t>
  </si>
  <si>
    <t>Total 3 ans (h)</t>
  </si>
  <si>
    <t>Objectif (h)</t>
  </si>
  <si>
    <t>Écart (h)</t>
  </si>
  <si>
    <t>Statut</t>
  </si>
  <si>
    <t>Action requise</t>
  </si>
  <si>
    <t>⚠️ Le taux de conformité est évalué au point d'arrêté (date de saisie). Le cycle triennal glissant (Art. 22 CD) s'achève au 31/12/2026. La conformité intégrale est conditionnée à l'exécution complète du plan d'action (cf. onglet PLAN D'ACTION, section F).</t>
  </si>
  <si>
    <t>B. CARTOGRAPHIE DES COMPÉTENCES — ÉCARTS vs CIBLE</t>
  </si>
  <si>
    <t>Moy. équipe</t>
  </si>
  <si>
    <t>Écart moy.</t>
  </si>
  <si>
    <t>Score prio.</t>
  </si>
  <si>
    <t>C. TOP 5 PRIORITÉS FORMATION (scoring = Coef. × |Écart| × Urgence)</t>
  </si>
  <si>
    <t>Rang</t>
  </si>
  <si>
    <t>Score</t>
  </si>
  <si>
    <t>Niveau</t>
  </si>
  <si>
    <t>D. SYNTHÈSE ET ENJEUX</t>
  </si>
  <si>
    <t>Situation au point d'arrêté :</t>
  </si>
  <si>
    <t>collaborateur(s) conforme(s) sur le cycle triennal en cours</t>
  </si>
  <si>
    <t>Situation après plan d'action :</t>
  </si>
  <si>
    <t>Investissement net :</t>
  </si>
  <si>
    <t>→ Gain net : financement OPCO + AFEST &gt; coûts catalogue</t>
  </si>
  <si>
    <t>Enjeux en cas de non-conformité :</t>
  </si>
  <si>
    <t>⚠️ Disciplinaire</t>
  </si>
  <si>
    <t>Chambre régionale de discipline (Ord. 19 sept. 1945, art. 49 et suiv.) — Manquement à l'Art. 22 CD : avertissement, blâme, suspension temporaire</t>
  </si>
  <si>
    <t>⚠️ Contrôle qualité</t>
  </si>
  <si>
    <t>NPMQ §25 — Contrôle défavorable, plan de mise en conformité imposé par le CROEC</t>
  </si>
  <si>
    <t>⚠️ Responsabilité civile</t>
  </si>
  <si>
    <t>Défaut de compétence du collaborateur = risque de mise en cause RC professionnelle</t>
  </si>
  <si>
    <t>⚠️ Perte de marché</t>
  </si>
  <si>
    <t>Déficit e-facture/IA → incapacité à répondre aux besoins clients dès septembre 2026</t>
  </si>
  <si>
    <t>Échéances critiques :</t>
  </si>
  <si>
    <t>Sept. 2026</t>
  </si>
  <si>
    <t>Réception e-factures obligatoire (Art. 289 bis CGI) — Toute l'équipe concernée</t>
  </si>
  <si>
    <t>Fév. 2025 (en cours)</t>
  </si>
  <si>
    <t>AI literacy applicable (Règl. UE 2024/1689 art. 4) — Sensibilisation à formaliser</t>
  </si>
  <si>
    <t>31/12/2026</t>
  </si>
  <si>
    <t>Fin du cycle triennal Art. 22 CD — Objectif 120h/collaborateur à atteindre</t>
  </si>
  <si>
    <t>Annuel</t>
  </si>
  <si>
    <t>Formation LCB-FT obligatoire (Art. L561-32 CMF) — Chaque collaborateur</t>
  </si>
  <si>
    <t>Recommandation :</t>
  </si>
  <si>
    <t>PLAN D'ACTION &amp; BUDGET FORMATION</t>
  </si>
  <si>
    <t>A. BUDGET FORMATIONS EXTERNES PLANIFIÉES</t>
  </si>
  <si>
    <t>Type</t>
  </si>
  <si>
    <t>Comble déficit</t>
  </si>
  <si>
    <t>IA (Lambert -2.0)</t>
  </si>
  <si>
    <t>Cybersécurité (Lambert -1.75)</t>
  </si>
  <si>
    <t>RGPD (Renaud -1.75)</t>
  </si>
  <si>
    <t>E-facture (Dupré -1.75)</t>
  </si>
  <si>
    <t>LCB-FT (Équipe -1.5)</t>
  </si>
  <si>
    <t>Déontologie (Dupré -0.75)</t>
  </si>
  <si>
    <t>Signature élec. (Renaud -1.25)</t>
  </si>
  <si>
    <t>GED (Renaud -0.75)</t>
  </si>
  <si>
    <t>Comptabilité (Renaud -1.25)</t>
  </si>
  <si>
    <t>SaaS (Renaud -0.25)</t>
  </si>
  <si>
    <t>Communication (Renaud -0.75)</t>
  </si>
  <si>
    <t>IA / AI Act (Dupré -2.0)</t>
  </si>
  <si>
    <t>SaaS / Numérique (Renaud -0.25)</t>
  </si>
  <si>
    <t>SOUS-TOTAL FORMATIONS EXTERNES</t>
  </si>
  <si>
    <t>B. FINANCEMENT OPCO ATLAS (CCN 3020 — Cabinets EC)</t>
  </si>
  <si>
    <t>Source : opco-atlas.fr/criteres-financement — Critères 2026</t>
  </si>
  <si>
    <t>Poste</t>
  </si>
  <si>
    <t>Montant €</t>
  </si>
  <si>
    <t>Budget formations HT</t>
  </si>
  <si>
    <t>Somme coûts catalogue planifiés</t>
  </si>
  <si>
    <t>Plafond PDC Atlas (&lt; 11 sal.)</t>
  </si>
  <si>
    <t>opco-atlas.fr — Critères 2026</t>
  </si>
  <si>
    <t>Plafond DEC/CAC supplémentaire</t>
  </si>
  <si>
    <t>1 000€/sal/an — 1 salarié en stage DEC (L. Martin)</t>
  </si>
  <si>
    <t>TOTAL prise en charge OPCO</t>
  </si>
  <si>
    <t>Coût net cabinet (HT)</t>
  </si>
  <si>
    <t>Budget – OPCO</t>
  </si>
  <si>
    <t>C. ÉCONOMIES FORMATIONS INTERNES (AFEST — 7 sessions rationalisées)</t>
  </si>
  <si>
    <t>AFEST finançable par Atlas : 20€ HT/h dans plafond PDC (Art. L6313-2 CT)</t>
  </si>
  <si>
    <t>Binôme</t>
  </si>
  <si>
    <t>Durée</t>
  </si>
  <si>
    <t>Heures compt.</t>
  </si>
  <si>
    <t>Éco. externe €</t>
  </si>
  <si>
    <t>Prise en charge OPCO Atlas</t>
  </si>
  <si>
    <t>Coût net formations</t>
  </si>
  <si>
    <t>Économies formations internes</t>
  </si>
  <si>
    <t>Formations externes évitées</t>
  </si>
  <si>
    <t>INVESTISSEMENT NET</t>
  </si>
  <si>
    <t>Résultat négatif = gain net : le financement OPCO Atlas + les économies AFEST couvrent plus que le coût catalogue. Ce gain finance le temps consacré par les formateurs internes.</t>
  </si>
  <si>
    <t>E. HYPOTHÈSES ET SOURCES</t>
  </si>
  <si>
    <t>Taux horaire complet</t>
  </si>
  <si>
    <t>Masse sal. brute / (ETP×1607h) × 1.45 × 1.18 — voir onglet _REF</t>
  </si>
  <si>
    <t>Charges patronales × 1.45</t>
  </si>
  <si>
    <t>≈ 45% moyen</t>
  </si>
  <si>
    <t>URSSAF 2026 : cadres EC env. 43-45% — Hausse cotis. vieillesse déplaf. LFSS 2026 (2,02→2,11%)</t>
  </si>
  <si>
    <t>Frais de structure × 1.18</t>
  </si>
  <si>
    <t>18% coût direct</t>
  </si>
  <si>
    <t>OMECA Baromètre S2 2025 (janv. 2026) — Ratio frais structure / charges directes cabinets &lt;10 sal.</t>
  </si>
  <si>
    <t>OPCO Atlas — PDC</t>
  </si>
  <si>
    <t>opco-atlas.fr — Critères 2026 (MAJ 05/01/2026)</t>
  </si>
  <si>
    <t>OPCO Atlas — DEC/CAC</t>
  </si>
  <si>
    <t>opco-atlas.fr — Supplément stage DEC/CAC 2026 (MAJ 05/01/2026)</t>
  </si>
  <si>
    <t>AFEST (formation interne)</t>
  </si>
  <si>
    <t>20 €/h max 150h</t>
  </si>
  <si>
    <t>Atlas 2026 : dans plafond PDC. Art. L6313-2 CT. microlearningAtlas cyber : gratuit &lt;50 sal.</t>
  </si>
  <si>
    <t>F. SUIVI COMBLEMENT DU DÉFICIT (heures sur 3 ans)</t>
  </si>
  <si>
    <t>Déficit actuel</t>
  </si>
  <si>
    <t>H. ext. planifiées</t>
  </si>
  <si>
    <t>H. int. (AFEST)</t>
  </si>
  <si>
    <t>Total planifié</t>
  </si>
  <si>
    <t>Solde résiduel</t>
  </si>
  <si>
    <t>⚠️ Note : les formations affectées à « Équipe » (ex. LCB-FT) sont comptabilisées à 100 % pour chaque participant présent (attestation individuelle). Les AFEST (section F de SAISIE) complètent le plan externe et sont comptabilisées à 100 % pour l'apprenant (Art. L6313-2 CT).</t>
  </si>
  <si>
    <t>G. CALENDRIER DE MISE EN ŒUVRE (S2 2026)</t>
  </si>
  <si>
    <t>Collab.</t>
  </si>
  <si>
    <t>Heures</t>
  </si>
  <si>
    <t>Charge mensuelle (h)</t>
  </si>
  <si>
    <t>⚠️ Ce calendrier est 100% automatisé. Pour modifier le planning, changer le mois dans la colonne J de l'onglet SAISIE (section E). Les heures se repositionnent automatiquement.</t>
  </si>
  <si>
    <t>FICHE QUALITÉ — FORMATION CONTINUE</t>
  </si>
  <si>
    <t>Art. 22 Code de déontologie • NPMQ 2025 §21-25 &amp; §44 • À imprimer pour le dossier qualité annuel</t>
  </si>
  <si>
    <t>⚠️ 100% automatisé — Ne rien modifier</t>
  </si>
  <si>
    <t>IDENTIFICATION DU CABINET</t>
  </si>
  <si>
    <t>Raison sociale</t>
  </si>
  <si>
    <t>N° OEC</t>
  </si>
  <si>
    <t>Date de synthèse</t>
  </si>
  <si>
    <t>CONFORMITÉ FORMATION CONTINUE</t>
  </si>
  <si>
    <t>Heures 3 ans</t>
  </si>
  <si>
    <t>Objectif</t>
  </si>
  <si>
    <t>Écart</t>
  </si>
  <si>
    <t>Taux conformité actuel</t>
  </si>
  <si>
    <t>Taux conformité après plan d'action</t>
  </si>
  <si>
    <t>BUDGET FORMATION</t>
  </si>
  <si>
    <t>Budget formations externes HT</t>
  </si>
  <si>
    <t>Économies formations internes (AFEST)</t>
  </si>
  <si>
    <t>PIÈCES JUSTIFICATIVES (Checklist contrôle qualité)</t>
  </si>
  <si>
    <t>☐</t>
  </si>
  <si>
    <t>Attestations de formation (GED cabinet)</t>
  </si>
  <si>
    <t>Obligatoire — NPMQ §23</t>
  </si>
  <si>
    <t>Émargements formations internes (AFEST)</t>
  </si>
  <si>
    <t>Obligatoire — Art. L6313-2 CT</t>
  </si>
  <si>
    <t>Justificatifs OPCO Atlas (accords PDC)</t>
  </si>
  <si>
    <t>Recommandé</t>
  </si>
  <si>
    <t>Planning formations N+1</t>
  </si>
  <si>
    <t>Obligatoire — NPMQ §24</t>
  </si>
  <si>
    <t>Attestation LCB-FT annuelle</t>
  </si>
  <si>
    <t>Obligatoire — Art. L561-32 CMF</t>
  </si>
  <si>
    <t>Procédure formation continue</t>
  </si>
  <si>
    <t>Grilles évaluation compétences</t>
  </si>
  <si>
    <t>Entretiens professionnels biennaux</t>
  </si>
  <si>
    <t>Sensibilisation AI literacy (art. 4 Règl. UE 2024/1689)</t>
  </si>
  <si>
    <t>Obligatoire depuis fév. 2025 — Règl. (UE) 2024/1689</t>
  </si>
  <si>
    <t>Registre des formations (cette annexe)</t>
  </si>
  <si>
    <t>Document de synthèse</t>
  </si>
  <si>
    <t>Prochaine revue prévue le : _________________</t>
  </si>
  <si>
    <t>Fréquence recommandée : annuelle (NPMQ §25)</t>
  </si>
  <si>
    <t>Date : _________________</t>
  </si>
  <si>
    <t>Signature EC : _________________</t>
  </si>
  <si>
    <t>RÉFÉRENCES NORMATIVES ET LÉGALES</t>
  </si>
  <si>
    <t>•  Art. 22 Code de déontologie (Décret n°2012-432 mod. Décret n°2023-388 — éd. janv. 2026)</t>
  </si>
  <si>
    <t>•  NPMQ 2025 §21-25 — Compétence des collaborateurs et formation continue</t>
  </si>
  <si>
    <t>•  Art. 148 Code de déontologie — Responsabilité de l'expert-comptable</t>
  </si>
  <si>
    <t>•  Art. L561-32 Code monétaire et financier — Formation LCB-FT annuelle</t>
  </si>
  <si>
    <t>•  Art. L6313-2 Code du travail — AFEST (Loi n°2018-771 du 5 sept. 2018)</t>
  </si>
  <si>
    <t>•  Art. L6315-1 Code du travail — Entretien professionnel biennal</t>
  </si>
  <si>
    <t>•  Règlement (UE) 2024/1689 art. 4 — AI literacy (obligation fév. 2025)</t>
  </si>
  <si>
    <t>•  OPCO Atlas — Critères financement 2026 (opco-atlas.fr — MAJ 05/01/2026)</t>
  </si>
  <si>
    <t>•  CCN n°3020 (IDCC 0787) — Accord n°48 du 05/12/2025 (minima +2,9% 2026)</t>
  </si>
  <si>
    <t>•  OMECA — Baromètre S2 2025 (publié 19/01/2026) et S2 2024 (publié 15/07/2025)</t>
  </si>
  <si>
    <t>•  LFSS 2026 — Hausse cotisation patronale vieillesse déplafonnée (2,02 → 2,11%)</t>
  </si>
  <si>
    <t>•  PASS 2026 : 48 060 € — PMSS : 4 005 € (Arrêté du 22/12/2025)</t>
  </si>
  <si>
    <t>CONCLUSION</t>
  </si>
  <si>
    <t>Situation actuelle :</t>
  </si>
  <si>
    <t>Plan d'action :</t>
  </si>
  <si>
    <t>Projection :</t>
  </si>
  <si>
    <t>Priorité immédiate :</t>
  </si>
  <si>
    <t>Prochaine revue :</t>
  </si>
  <si>
    <t>Revue qualité annuelle NPMQ §25 — Réactualiser cette grille avec le catalogue CFPC et les critères Atlas en vigueur.</t>
  </si>
  <si>
    <t>MÉTHODOLOGIE — Documentation technique Annexe 22 (Février 2026)</t>
  </si>
  <si>
    <t>1. FONDEMENT RÉGLEMENTAIRE</t>
  </si>
  <si>
    <t xml:space="preserve">   Art. 22 Code de déontologie (Décret 2012-432 modifié par Décret 2023-388)</t>
  </si>
  <si>
    <t xml:space="preserve">   Édition janvier 2026 du Code de déontologie (CNOEC)</t>
  </si>
  <si>
    <t xml:space="preserve">   Obligation : formation continue ≈ 120h/3 ans glissants (≈ 40h/an)</t>
  </si>
  <si>
    <t xml:space="preserve">   dont ≥ 60h structurées homologuées par les CROEC</t>
  </si>
  <si>
    <t xml:space="preserve">   NPMQ 2025 §21-25 : compétences collaborateurs, plan de formation, évaluation</t>
  </si>
  <si>
    <t xml:space="preserve">   Art. 148 Code de déontologie : responsabilité de l'EC sur la compétence de l'équipe</t>
  </si>
  <si>
    <t xml:space="preserve">   Art. L561-32 CMF : formation LCB-FT annuelle obligatoire</t>
  </si>
  <si>
    <t xml:space="preserve">   Règl. (UE) 2024/1689 art. 4 : AI literacy — obligation applicable depuis fév. 2025</t>
  </si>
  <si>
    <t xml:space="preserve">   Prorata pour les collaborateurs en cours de cycle :</t>
  </si>
  <si>
    <t xml:space="preserve">   Pour un collaborateur entré en cours de période triennale, l'objectif est proratisé.</t>
  </si>
  <si>
    <t xml:space="preserve">   Exemple : apprenti 0,8 ETP arrivé en septembre 2025 → cycle individuel 09/2025–08/2028,</t>
  </si>
  <si>
    <t xml:space="preserve">   première annuité = 40h (Art. L6221-1 CT : l'apprenti est un collaborateur au sens de l'art. 22).</t>
  </si>
  <si>
    <t>2. OPCO DE BRANCHE</t>
  </si>
  <si>
    <t xml:space="preserve">   Les cabinets d'expertise comptable relèvent de l'OPCO Atlas.</t>
  </si>
  <si>
    <t xml:space="preserve">   Convention collective n°3020, IDCC 0787.</t>
  </si>
  <si>
    <t xml:space="preserve">   Accord n°48 du 05/12/2025 : revalorisation +2,9% des minima conventionnels 2026.</t>
  </si>
  <si>
    <t xml:space="preserve">   NE PAS confondre avec OPCO EP (entreprises de proximité : coiffure, artisanat…).</t>
  </si>
  <si>
    <t xml:space="preserve">   Critères 2026 (MAJ 05/01/2026 — opco-atlas.fr/criteres-financement) :</t>
  </si>
  <si>
    <t xml:space="preserve">     • PDC &lt; 11 sal. : 2 800€ HT/an/entreprise</t>
  </si>
  <si>
    <t xml:space="preserve">     • PDC 11-49 sal. : 9 000€ HT/an/entreprise</t>
  </si>
  <si>
    <t xml:space="preserve">     • Supplément DEC/CAC : 1 000€/salarié/an</t>
  </si>
  <si>
    <t xml:space="preserve">     • AFEST : 20€ HT/h, max 150h par formation, dans plafond PDC</t>
  </si>
  <si>
    <t xml:space="preserve">     • campusAtlas : formations négociées 100% (&lt;50 sal.)</t>
  </si>
  <si>
    <t xml:space="preserve">     • microlearningAtlas : cybersécurité 100% gratuit (1-49 sal.)</t>
  </si>
  <si>
    <t xml:space="preserve">     • PIX I Atlas : évaluation compétences numériques, 100% toutes tailles</t>
  </si>
  <si>
    <t xml:space="preserve">     • FSE+ : cofinancement 50% (transition numérique, écologique, transversal)</t>
  </si>
  <si>
    <t xml:space="preserve">       Conditions : OF Qualiopi, min. 3h30, présentiel/classe virtuelle</t>
  </si>
  <si>
    <t xml:space="preserve">   ⚠️ Critères sous réserve de fonds France Compétences disponibles.</t>
  </si>
  <si>
    <t>3. TAUX HORAIRE COMPLET</t>
  </si>
  <si>
    <t xml:space="preserve">   Formule : Masse salariale brute / (ETP × 1 607h annuelles) × 1.45 × 1.18</t>
  </si>
  <si>
    <t xml:space="preserve">   Coefficient 1.45 — Charges patronales (URSSAF 2026)</t>
  </si>
  <si>
    <t xml:space="preserve">     Hausse cotisation vieillesse déplafonnée LFSS 2026 : 2,02% → 2,11%</t>
  </si>
  <si>
    <t xml:space="preserve">     (Décret n°2025-1446 du 31/12/2025 portant relèvement du taux)</t>
  </si>
  <si>
    <t xml:space="preserve">     Assurance maladie : 7% (taux réduit ≤2,5 SMIC) ou 13%</t>
  </si>
  <si>
    <t xml:space="preserve">     Vieillesse plafonnée : 8,55% (T1 ≤PMSS)</t>
  </si>
  <si>
    <t xml:space="preserve">     Vieillesse déplafonnée : 2,11% (hausse 2026)</t>
  </si>
  <si>
    <t xml:space="preserve">     Allocations familiales : 3,45% (taux réduit ≤3,5 SMIC) ou 5,25%</t>
  </si>
  <si>
    <t xml:space="preserve">     AGIRC-ARRCO T1 : 4,72% patronal + CEG 1,29%</t>
  </si>
  <si>
    <t xml:space="preserve">     Chômage : 4,00% (depuis 01/05/2025) + AGS : 0,25% (depuis 01/07/2024)</t>
  </si>
  <si>
    <t xml:space="preserve">     Total estimé cadres EC : 43-45% — arrondi prudent à 45%</t>
  </si>
  <si>
    <t xml:space="preserve">     PASS 2026 : 48 060 € — PMSS : 4 005 € (Arrêté du 22/12/2025)</t>
  </si>
  <si>
    <t xml:space="preserve">   Coefficient 1.18 — Frais de structure</t>
  </si>
  <si>
    <t xml:space="preserve">     Ratio charges structure / charges directes pour cabinets &lt; 10 salariés</t>
  </si>
  <si>
    <t xml:space="preserve">     Inclut : loyer/coworking, outils SaaS, assurances, matériel, divers</t>
  </si>
  <si>
    <t xml:space="preserve">     Source : OMECA — Baromètres sectoriels 2024-2025</t>
  </si>
  <si>
    <t xml:space="preserve">     ⚠️ Pour un cabinet 100% distant, les frais structure peuvent être &lt; 18%</t>
  </si>
  <si>
    <t xml:space="preserve">       (absence de loyer physique), mais le coût SaaS compense partiellement.</t>
  </si>
  <si>
    <t>4. FORMATIONS INTERNES (AFEST)</t>
  </si>
  <si>
    <t xml:space="preserve">   Action de Formation En Situation de Travail — Art. L6313-2 Code du travail</t>
  </si>
  <si>
    <t xml:space="preserve">   Loi n°2018-771 du 5 septembre 2018 « Liberté de choisir son avenir professionnel »</t>
  </si>
  <si>
    <t xml:space="preserve">   Conditions : programme structuré, objectifs définis, émargement, évaluation</t>
  </si>
  <si>
    <t xml:space="preserve">   Financement Atlas 2026 : 20€/h, max 150h, dans plafond PDC annuel</t>
  </si>
  <si>
    <t xml:space="preserve">   Heures comptabilisées : 100% pour l'apprenant SI conditions AFEST respectées</t>
  </si>
  <si>
    <t xml:space="preserve">   Heures NON comptabilisées OEC : autoformation libre, webinaires non évalués</t>
  </si>
  <si>
    <t xml:space="preserve">   Requalification en AFEST :</t>
  </si>
  <si>
    <t xml:space="preserve">   Une formation interne initialement non structurée peut être requalifiée en AFEST</t>
  </si>
  <si>
    <t xml:space="preserve">   a posteriori (art. L6313-2 CT), à condition de formaliser : objectifs pédagogiques,</t>
  </si>
  <si>
    <t xml:space="preserve">   programme écrit et évaluation des acquis. La doctrine Atlas reconnaît cette formalisation.</t>
  </si>
  <si>
    <t xml:space="preserve">   Clarification « économies AFEST » :</t>
  </si>
  <si>
    <t xml:space="preserve">   Les montants affichés dans l'onglet PLAN D'ACTION = coûts catalogues externes</t>
  </si>
  <si>
    <t xml:space="preserve">   équivalents évités par la formation interne. Ce ne sont PAS des gains de trésorerie.</t>
  </si>
  <si>
    <t xml:space="preserve">   Le coût réel de l'AFEST = temps formateur + temps apprenant.</t>
  </si>
  <si>
    <t xml:space="preserve">   L'investissement net intègre uniquement les flux monétaires réels.</t>
  </si>
  <si>
    <t xml:space="preserve">   Le temps interne est déjà inclus dans le taux horaire complet (charges + structure).</t>
  </si>
  <si>
    <t>5. SCORING PRIORITÉS ET ÉVALUATION DES COMPÉTENCES</t>
  </si>
  <si>
    <t xml:space="preserve">   Barème de notation des compétences (1 à 5) :</t>
  </si>
  <si>
    <t xml:space="preserve">   1 = Découverte (notions théoriques uniquement)</t>
  </si>
  <si>
    <t xml:space="preserve">   2 = Initiation (pratique supervisée)</t>
  </si>
  <si>
    <t xml:space="preserve">   3 = Pratique courante (autonomie avec contrôle)</t>
  </si>
  <si>
    <t xml:space="preserve">   4 = Maîtrise (autonomie complète)</t>
  </si>
  <si>
    <t xml:space="preserve">   5 = Expertise (forme les autres, référent interne)</t>
  </si>
  <si>
    <t xml:space="preserve">   Source : adaptation du référentiel RNCP / France Compétences, aligné NPMQ §23.</t>
  </si>
  <si>
    <t xml:space="preserve">   Méthode : auto-évaluation collaborateur + validation managériale</t>
  </si>
  <si>
    <t xml:space="preserve">   lors de l'entretien professionnel biennal (Art. L6315-1 CT).</t>
  </si>
  <si>
    <t xml:space="preserve">   Score de priorité = Coefficient criticité × |Écart vs cible| × Urgence réglementaire</t>
  </si>
  <si>
    <t xml:space="preserve">   Coefficient de criticité :</t>
  </si>
  <si>
    <t xml:space="preserve">   Standard (coef. 1) = compétence métier classique</t>
  </si>
  <si>
    <t xml:space="preserve">   Stratégique (coef. 2) = différenciation numérique du cabinet</t>
  </si>
  <si>
    <t xml:space="preserve">   CRITIQUE (coef. 3) = obligation réglementaire ou risque pénal/disciplinaire</t>
  </si>
  <si>
    <t xml:space="preserve">   Urgence :</t>
  </si>
  <si>
    <t xml:space="preserve">   1 = amélioration continue (&gt; 12 mois, pas d'échéance immédiate)</t>
  </si>
  <si>
    <t xml:space="preserve">   2 = risque opérationnel identifié (6-12 mois)</t>
  </si>
  <si>
    <t xml:space="preserve">   3 = échéance réglementaire &lt; 6 mois</t>
  </si>
  <si>
    <t xml:space="preserve">     Ex. : e-facture (réception sept. 2026, Art. 289 bis CGI) = urgence 3</t>
  </si>
  <si>
    <t xml:space="preserve">     Ex. : AI literacy (applicable depuis fév. 2025, Règl. UE 2024/1689 art. 4) = urgence 2</t>
  </si>
  <si>
    <t xml:space="preserve">   Cible : niveau attendu pour le grade dans un cabinet 100% numérique</t>
  </si>
  <si>
    <t xml:space="preserve">   Tiebreaker : +(16-ROW()+27)/10000 pour départager les scores identiques</t>
  </si>
  <si>
    <t xml:space="preserve">   Fixation des critères : revue annuelle qualité NPMQ §25 par l'EC titulaire.</t>
  </si>
  <si>
    <t>6. DONNÉES OMECA — SOURCES ACTUALISÉES</t>
  </si>
  <si>
    <t xml:space="preserve">   ■ Baromètre S2 2025 (publié 19/01/2026) — SOURCE LA PLUS RÉCENTE</t>
  </si>
  <si>
    <t xml:space="preserve">     Panel : 301 dirigeants de cabinets (BVA)</t>
  </si>
  <si>
    <t xml:space="preserve">     • 83% des cabinets comptent &lt; 10 salariés (dont 65% &lt; 5)</t>
  </si>
  <si>
    <t xml:space="preserve">     • 49% des cabinets déclarent des difficultés de recrutement</t>
  </si>
  <si>
    <t xml:space="preserve">     • 175 000 collaborateurs salariés dans la branche</t>
  </si>
  <si>
    <t xml:space="preserve">     • 98% en CDI</t>
  </si>
  <si>
    <t xml:space="preserve">     Source : metierscomptabilite.fr/etudes</t>
  </si>
  <si>
    <t xml:space="preserve">   ■ Baromètre S2 2024 (publié 15/07/2025) — Volet thématique IA</t>
  </si>
  <si>
    <t xml:space="preserve">     • +18,8% création nette emploi sur 5 ans</t>
  </si>
  <si>
    <t xml:space="preserve">     • 1,9% CDD seulement — 88% contrats temps complet</t>
  </si>
  <si>
    <t xml:space="preserve">     • 62% des cabinets utilisent applications/logiciels intégrant IA</t>
  </si>
  <si>
    <t xml:space="preserve">     • 32% : automatisation tâches répétitives</t>
  </si>
  <si>
    <t xml:space="preserve">     • 29% : gain temps et productivité</t>
  </si>
  <si>
    <t xml:space="preserve">     • 25% : contrôles automatisés (TVA, rapprochements)</t>
  </si>
  <si>
    <t xml:space="preserve">     • 44% ont formé/sensibilisé collaborateurs sur IA</t>
  </si>
  <si>
    <t xml:space="preserve">     • 40% ont formalisé règles sécurité/confidentialité IA</t>
  </si>
  <si>
    <t xml:space="preserve">     • 58% agissent pour maintenir dimension humaine relation client</t>
  </si>
  <si>
    <t xml:space="preserve">     • 12% cabinets prévoient hausse effectifs S1 2025</t>
  </si>
  <si>
    <t xml:space="preserve">     Source : metierscomptabilite.fr/etudes/barometre-deuxieme-semestre-2024</t>
  </si>
  <si>
    <t xml:space="preserve">   ■ Autres sources sectorielles</t>
  </si>
  <si>
    <t xml:space="preserve">     • CNOEC 2025 : 22 000+ experts-comptables inscrits (+12% depuis 2015)</t>
  </si>
  <si>
    <t xml:space="preserve">     • Wolters Kluwer 2025 : 41% adoption IA profession (vs 9% en 2024)</t>
  </si>
  <si>
    <t>7. ARCHITECTURE AUTOMATISATION</t>
  </si>
  <si>
    <t xml:space="preserve">   SAISIE → seul onglet à compléter (cellules jaunes)</t>
  </si>
  <si>
    <t xml:space="preserve">   DIAGNOSTIC → 100% formules depuis SAISIE</t>
  </si>
  <si>
    <t xml:space="preserve">   PLAN D'ACTION → 100% formules depuis SAISIE + DIAGNOSTIC</t>
  </si>
  <si>
    <t xml:space="preserve">   FICHE QUALITÉ → 100% formules depuis les 3 onglets précédents</t>
  </si>
  <si>
    <t xml:space="preserve">   Toute modification dans SAISIE se propage automatiquement partout.</t>
  </si>
  <si>
    <t>8. LIMITES ET PRÉCAUTIONS</t>
  </si>
  <si>
    <t xml:space="preserve">   • Tarifs catalogue indicatifs, à confirmer lors de l'inscription effective</t>
  </si>
  <si>
    <t xml:space="preserve">   • Plafond OPCO Atlas sous réserve de fonds disponibles (France Compétences)</t>
  </si>
  <si>
    <t xml:space="preserve">   • Les heures d'autoformation libre ne sont PAS comptabilisées (non homologuées OEC)</t>
  </si>
  <si>
    <t xml:space="preserve">   • Actualiser annuellement avec le catalogue CFPC et les critères Atlas en vigueur</t>
  </si>
  <si>
    <t xml:space="preserve">   • Coefficient 1.45 : vérifier si la LFSS suivante modifie les taux de cotisation</t>
  </si>
  <si>
    <t xml:space="preserve">   • Coefficient 1.18 : à recalibrer si le cabinet est 100% distant (loyer = 0)</t>
  </si>
  <si>
    <t xml:space="preserve">   • FSE+ : dates limites d'éligibilité évoluent chaque année</t>
  </si>
  <si>
    <t xml:space="preserve">   • Baromètre OMECA : données déclaratives sur panel de ~300 cabinets (BVA)</t>
  </si>
  <si>
    <t>9. CHECKLIST DE MISE À JOUR ANNUELLE</t>
  </si>
  <si>
    <t xml:space="preserve">   À vérifier lors de chaque revue qualité (NPMQ §25) :</t>
  </si>
  <si>
    <t xml:space="preserve">   ☐  Plafonds OPCO Atlas : vérifier sur opco-atlas.fr/criteres-financement</t>
  </si>
  <si>
    <t xml:space="preserve">      → PDC, supplément DEC/CAC, AFEST, campusAtlas, microlearningAtlas, PIX I</t>
  </si>
  <si>
    <t xml:space="preserve">   ☐  Taux de cotisations patronales : vérifier sur urssaf.fr (LFSS en vigueur)</t>
  </si>
  <si>
    <t xml:space="preserve">   ☐  PASS / PMSS : arrêté annuel (Journal officiel)</t>
  </si>
  <si>
    <t xml:space="preserve">   ☐  Minima conventionnels CCN 3020 : vérifier accord en vigueur (Légifrance)</t>
  </si>
  <si>
    <t xml:space="preserve">   ☐  Tarifs catalogue CFPC : confirmer avant inscription (cfpc.net)</t>
  </si>
  <si>
    <t xml:space="preserve">   ☐  Baromètre OMECA : vérifier dernière parution (metierscomptabilite.fr/etudes)</t>
  </si>
  <si>
    <t xml:space="preserve">   ☐  Obligations réglementaires nouvelles : e-facture, AI Act, RGPD, NIS2</t>
  </si>
  <si>
    <t xml:space="preserve">   ☐  Ratio frais de structure : recalibrer si évolution du modèle du cabinet</t>
  </si>
  <si>
    <t xml:space="preserve">   ⚠️ Toute donnée chiffrée doit être vérifiable. Privilégier une donnée absente</t>
  </si>
  <si>
    <t xml:space="preserve">   à une donnée obsolète ou non sourcée.</t>
  </si>
  <si>
    <t>10. COMPLÉMENTARITÉ AVEC L'OUTIL D'ENGAGEMENT (ANNEXE 23)</t>
  </si>
  <si>
    <t xml:space="preserve">   L'Annexe 22 et l'Annexe 23 sont complémentaires mais distinctes :</t>
  </si>
  <si>
    <t xml:space="preserve">   ANNEXE 22 — Grille de suivi de formation continue (cet outil)</t>
  </si>
  <si>
    <t xml:space="preserve">     Objectif : piloter la conformité réglementaire (Art. 22 CD, 120h/3 ans)</t>
  </si>
  <si>
    <t xml:space="preserve">     Focus : heures de formation, budget, financement OPCO, plan d'action</t>
  </si>
  <si>
    <t xml:space="preserve">     Livrable : synthèse contrôle qualité NPMQ (fiche imprimable + checklist)</t>
  </si>
  <si>
    <t xml:space="preserve">     Usage : suivi annuel lors de la revue qualité (NPMQ §25)</t>
  </si>
  <si>
    <t xml:space="preserve">     Question centrale : « Mon cabinet respecte-t-il ses obligations de formation ? »</t>
  </si>
  <si>
    <t xml:space="preserve">   ANNEXE 23 — Baromètre d'engagement et plan de rétention</t>
  </si>
  <si>
    <t xml:space="preserve">     Objectif : diagnostiquer l'engagement et la satisfaction des collaborateurs</t>
  </si>
  <si>
    <t xml:space="preserve">     Focus : visualisation des compétences, entretien professionnel, rétention</t>
  </si>
  <si>
    <t xml:space="preserve">     Livrable : tableaux de bord visuels (radar, heatmap, tendances)</t>
  </si>
  <si>
    <t xml:space="preserve">     Usage : entretien professionnel biennal (Art. L6315-1 CT), plan de rétention</t>
  </si>
  <si>
    <t xml:space="preserve">     Question centrale : « Mes collaborateurs sont-ils engagés et en progression ? »</t>
  </si>
  <si>
    <t xml:space="preserve">   Lien entre les deux :</t>
  </si>
  <si>
    <t xml:space="preserve">   L'Annexe 22 identifie les lacunes (écart compétences, déficit heures).</t>
  </si>
  <si>
    <t xml:space="preserve">   L'Annexe 23 mesure l'impact des actions correctives sur l'engagement.</t>
  </si>
  <si>
    <t xml:space="preserve">   Flux : Diagnostic (§C) → Plan formation (§D-E-F) → Suivi engagement → Ajustement.</t>
  </si>
  <si>
    <t xml:space="preserve">   L'Annexe 22 est l'outil de pilotage réglementaire (obligation EC).</t>
  </si>
  <si>
    <t xml:space="preserve">   L'Annexe 23 est l'outil de management RH (fidélisation équipe).</t>
  </si>
  <si>
    <t xml:space="preserve">   Les deux s'alimentent mutuellement dans un cycle vertueux.</t>
  </si>
  <si>
    <t>TERMINOLOGIE E-FACTURE — MISE À JOUR 2026</t>
  </si>
  <si>
    <t xml:space="preserve">   ⚠️ Le terme « PDP » est obsolète depuis 2024.</t>
  </si>
  <si>
    <t xml:space="preserve">   Le terme officiel est désormais PA — Plateforme Agréée (Ordonnance n°2021-1190 + Décret n°2024-266).</t>
  </si>
  <si>
    <t xml:space="preserve">   Le PPF (Portail Public de Facturation) se limite à : annuaire central + concentrateur DGFiP.</t>
  </si>
  <si>
    <t xml:space="preserve">   Le PPF ne permet PAS d'émettre ni de recevoir des factures.</t>
  </si>
  <si>
    <t xml:space="preserve">   Toutes les entreprises doivent passer par une PA immatriculée (liste DGFiP).</t>
  </si>
  <si>
    <t xml:space="preserve">   Source : impots.gouv.fr — Liste des plateformes agréées (consultation 2026).</t>
  </si>
  <si>
    <t>RATIONALISATION DES AFEST (v19)</t>
  </si>
  <si>
    <t xml:space="preserve">   13 binômes individuels dans SAISIE → 7 sessions distinctes.</t>
  </si>
  <si>
    <t xml:space="preserve">   Les binômes individuels sont conservés pour alimenter les formules SUMIF</t>
  </si>
  <si>
    <t xml:space="preserve">   du suivi de comblement (1 ligne = 1 apprenant = heures comptabilisées).</t>
  </si>
  <si>
    <t xml:space="preserve">   Les économies sont comptées 1× par session collective :</t>
  </si>
  <si>
    <t xml:space="preserve">     Session collective (1→3) : éco. sur la 1ère ligne, 0€ sur les lignes 2 et 3.</t>
  </si>
  <si>
    <t xml:space="preserve">   Correction v19 : Renaud (junior, 2/5 en e-facture) ne forme plus personne.</t>
  </si>
  <si>
    <t xml:space="preserve">     C'est Dupré (EC, 3→4/5 après formation externe 14h) qui assure la cascade.</t>
  </si>
  <si>
    <t xml:space="preserve">   Ajout session 7 : Déontologie (Dupré 4/5 → équipe) — remplace les 3 lignes Renaud.</t>
  </si>
  <si>
    <t xml:space="preserve">   7 sessions : IA mentorat | Révision tutorat | Fiscalité | IA prompts | Cyber | E-facture PA | Déontologie.</t>
  </si>
  <si>
    <t xml:space="preserve">   Économies AFEST : 3 935€ (vs 4 563€ ancien — correction double comptage).</t>
  </si>
  <si>
    <t xml:space="preserve">   Investissement net : -1 265€ (gain net crédible).</t>
  </si>
  <si>
    <t>PRINCIPE DE CASCADE POST-FORMATION (v19)</t>
  </si>
  <si>
    <t xml:space="preserve">   Certains formateurs AFEST ont une note initiale ≤ apprenant.</t>
  </si>
  <si>
    <t xml:space="preserve">   Logique : formation externe (montée compétences) → cascade interne AFEST.</t>
  </si>
  <si>
    <t xml:space="preserve">   Ex. : Lambert IA (1/5) suit formation IA externe 14h → monte à ≈ 3/5 → cascade Renaud.</t>
  </si>
  <si>
    <t xml:space="preserve">   Ex. : Lambert Cyber (2/5) suit formation Cyber externe 7h → monte à ≈ 3/5 → cascade équipe.</t>
  </si>
  <si>
    <t xml:space="preserve">   Ex. : Dupré E-facture (3/5) suit formation E-facture ext. 14h → monte à ≈ 4/5 → cascade équipe.</t>
  </si>
  <si>
    <t xml:space="preserve">   Ce principe est conforme à l'art. L6313-2 CT (conditions AFEST : programme structuré,</t>
  </si>
  <si>
    <t xml:space="preserve">   objectifs définis, émargement). Le formateur DOIT avoir acquis les compétences AVANT la session.</t>
  </si>
  <si>
    <t>11. TEST RAPIDE — VÉRIFICATION DU FONCTIONNEMENT</t>
  </si>
  <si>
    <t xml:space="preserve">   Pour vérifier l'automatisation complète, effectuer les tests suivants :</t>
  </si>
  <si>
    <t xml:space="preserve">   TEST 1 — Taux horaire : Modifier la masse salariale brute (SAISIE C11).</t>
  </si>
  <si>
    <t xml:space="preserve">            → Le taux horaire complet (SAISIE G16) se recalcule instantanément.</t>
  </si>
  <si>
    <t xml:space="preserve">            → L'investissement net (PLAN D'ACTION D51) se met à jour.</t>
  </si>
  <si>
    <t xml:space="preserve">   TEST 2 — Compétences : Modifier une note de compétence (SAISIE C33:F48).</t>
  </si>
  <si>
    <t xml:space="preserve">            → Le DIAGNOSTIC recalcule les écarts et le scoring de priorité.</t>
  </si>
  <si>
    <t xml:space="preserve">            → Le TOP 5 priorités (DIAGNOSTIC C47:C51) se reclasse automatiquement.</t>
  </si>
  <si>
    <t xml:space="preserve">   TEST 3 — Calendrier : Changer le mois d'une formation planifiée (SAISIE J77:J89).</t>
  </si>
  <si>
    <t xml:space="preserve">            → Le calendrier mensuel (PLAN D'ACTION R77:J91) redistribue la charge.</t>
  </si>
  <si>
    <t xml:space="preserve">   TEST 4 — Effectif : Ajouter un collaborateur en ligne 24 (SAISIE B24:K24).</t>
  </si>
  <si>
    <t xml:space="preserve">            → Conformité, compétences, comblement et fiche qualité se mettent à jour.</t>
  </si>
  <si>
    <t xml:space="preserve">   ⚠️ Après test, rétablir les valeurs d'origine du Cabinet X (données fictives).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</si>
</sst>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quot; €&quot;"/>
    <numFmt numFmtId="166" formatCode="m/d/yyyy"/>
  </numFmts>
  <fonts count="62" x14ac:knownFonts="1">
    <font>
      <sz val="11"/>
      <color theme="1"/>
      <name val="Calibri"/>
      <family val="2"/>
      <charset val="1"/>
    </font>
    <font>
      <sz val="10"/>
      <color theme="1"/>
      <name val="Arial"/>
      <charset val="1"/>
    </font>
    <font>
      <b/>
      <sz val="16"/>
      <color rgb="FFFFFFFF"/>
      <name val="Arial"/>
      <charset val="1"/>
    </font>
    <font>
      <i/>
      <sz val="11"/>
      <color rgb="FFFFFFFF"/>
      <name val="Arial"/>
      <charset val="1"/>
    </font>
    <font>
      <b/>
      <sz val="10"/>
      <color rgb="FFFFFFFF"/>
      <name val="Arial"/>
      <charset val="1"/>
    </font>
    <font>
      <sz val="10"/>
      <name val="Arial"/>
      <charset val="1"/>
    </font>
    <font>
      <b/>
      <sz val="10"/>
      <name val="Arial"/>
      <charset val="1"/>
    </font>
    <font>
      <sz val="9"/>
      <name val="Arial"/>
      <charset val="1"/>
    </font>
    <font>
      <b/>
      <sz val="20"/>
      <color rgb="FF2E75B6"/>
      <name val="Arial"/>
      <charset val="1"/>
    </font>
    <font>
      <b/>
      <sz val="10"/>
      <color rgb="FFCC6600"/>
      <name val="Arial"/>
      <charset val="1"/>
    </font>
    <font>
      <sz val="10"/>
      <color rgb="FF333333"/>
      <name val="Arial"/>
      <charset val="1"/>
    </font>
    <font>
      <i/>
      <sz val="10"/>
      <color rgb="FF1F4E79"/>
      <name val="Calibri"/>
      <charset val="1"/>
    </font>
    <font>
      <b/>
      <i/>
      <sz val="9"/>
      <color rgb="FFC00000"/>
      <name val="Arial"/>
      <charset val="1"/>
    </font>
    <font>
      <b/>
      <sz val="14"/>
      <color rgb="FF1F4E79"/>
      <name val="Arial"/>
      <charset val="1"/>
    </font>
    <font>
      <i/>
      <sz val="10"/>
      <color rgb="FF888888"/>
      <name val="Arial"/>
      <charset val="1"/>
    </font>
    <font>
      <i/>
      <sz val="9"/>
      <color rgb="FF888888"/>
      <name val="Arial"/>
      <charset val="1"/>
    </font>
    <font>
      <b/>
      <sz val="12"/>
      <color rgb="FF1F4E79"/>
      <name val="Arial"/>
      <charset val="1"/>
    </font>
    <font>
      <b/>
      <sz val="10"/>
      <color rgb="FF000000"/>
      <name val="Arial"/>
      <charset val="1"/>
    </font>
    <font>
      <sz val="10"/>
      <color rgb="FF0000FF"/>
      <name val="Arial"/>
      <charset val="1"/>
    </font>
    <font>
      <i/>
      <sz val="9"/>
      <color rgb="FF666666"/>
      <name val="Arial"/>
      <charset val="1"/>
    </font>
    <font>
      <b/>
      <sz val="11"/>
      <color rgb="FF1F4E79"/>
      <name val="Arial"/>
      <charset val="1"/>
    </font>
    <font>
      <sz val="10"/>
      <color rgb="FF000000"/>
      <name val="Arial"/>
      <charset val="1"/>
    </font>
    <font>
      <b/>
      <sz val="9"/>
      <name val="Arial"/>
      <charset val="1"/>
    </font>
    <font>
      <i/>
      <sz val="9"/>
      <color rgb="FF333333"/>
      <name val="Arial"/>
      <charset val="1"/>
    </font>
    <font>
      <i/>
      <sz val="10"/>
      <color rgb="FF808080"/>
      <name val="Calibri"/>
      <charset val="1"/>
    </font>
    <font>
      <i/>
      <sz val="9"/>
      <color rgb="FF808080"/>
      <name val="Calibri"/>
      <charset val="1"/>
    </font>
    <font>
      <i/>
      <sz val="10"/>
      <color rgb="FF808080"/>
      <name val="Arial"/>
      <charset val="1"/>
    </font>
    <font>
      <i/>
      <sz val="9"/>
      <color rgb="FF808080"/>
      <name val="Arial"/>
      <charset val="1"/>
    </font>
    <font>
      <b/>
      <sz val="10"/>
      <color rgb="FFFFFFFF"/>
      <name val="Calibri"/>
      <charset val="1"/>
    </font>
    <font>
      <i/>
      <sz val="10"/>
      <color rgb="FF666666"/>
      <name val="Arial"/>
      <charset val="1"/>
    </font>
    <font>
      <sz val="10"/>
      <color rgb="FF006100"/>
      <name val="Calibri"/>
      <charset val="1"/>
    </font>
    <font>
      <b/>
      <sz val="9"/>
      <color rgb="FF1F4E79"/>
      <name val="Arial"/>
      <charset val="1"/>
    </font>
    <font>
      <b/>
      <sz val="10"/>
      <color rgb="FFC00000"/>
      <name val="Calibri"/>
      <charset val="1"/>
    </font>
    <font>
      <b/>
      <sz val="10"/>
      <color rgb="FF1F4E79"/>
      <name val="Arial"/>
      <charset val="1"/>
    </font>
    <font>
      <i/>
      <sz val="9"/>
      <color rgb="FFC00000"/>
      <name val="Calibri"/>
      <charset val="1"/>
    </font>
    <font>
      <i/>
      <sz val="9"/>
      <name val="Arial"/>
      <charset val="1"/>
    </font>
    <font>
      <i/>
      <sz val="8"/>
      <color rgb="FF666666"/>
      <name val="Calibri"/>
      <charset val="1"/>
    </font>
    <font>
      <i/>
      <sz val="9"/>
      <color rgb="FF666666"/>
      <name val="Calibri"/>
      <charset val="1"/>
    </font>
    <font>
      <i/>
      <sz val="9"/>
      <color rgb="FF0000FF"/>
      <name val="Calibri"/>
      <charset val="1"/>
    </font>
    <font>
      <b/>
      <i/>
      <sz val="10"/>
      <color rgb="FFC00000"/>
      <name val="Arial"/>
      <charset val="1"/>
    </font>
    <font>
      <i/>
      <sz val="9"/>
      <color rgb="FF999999"/>
      <name val="Arial"/>
      <charset val="1"/>
    </font>
    <font>
      <b/>
      <sz val="10"/>
      <color rgb="FFC00000"/>
      <name val="Arial"/>
      <charset val="1"/>
    </font>
    <font>
      <i/>
      <sz val="9"/>
      <color rgb="FF4472C4"/>
      <name val="Arial"/>
      <charset val="1"/>
    </font>
    <font>
      <b/>
      <sz val="9"/>
      <color rgb="FF2E75B6"/>
      <name val="Arial"/>
      <charset val="1"/>
    </font>
    <font>
      <sz val="9"/>
      <color rgb="FF666666"/>
      <name val="Arial"/>
      <charset val="1"/>
    </font>
    <font>
      <b/>
      <sz val="10"/>
      <color rgb="FF2E7D32"/>
      <name val="Arial"/>
      <charset val="1"/>
    </font>
    <font>
      <b/>
      <sz val="10"/>
      <color rgb="FF4472C4"/>
      <name val="Arial"/>
      <charset val="1"/>
    </font>
    <font>
      <b/>
      <sz val="11"/>
      <color rgb="FFFFFFFF"/>
      <name val="Arial"/>
      <charset val="1"/>
    </font>
    <font>
      <b/>
      <sz val="10"/>
      <color rgb="FF333333"/>
      <name val="Arial"/>
      <charset val="1"/>
    </font>
    <font>
      <b/>
      <sz val="10"/>
      <color rgb="FF548235"/>
      <name val="Arial"/>
      <charset val="1"/>
    </font>
    <font>
      <sz val="12"/>
      <color rgb="FF333333"/>
      <name val="Arial"/>
      <charset val="1"/>
    </font>
    <font>
      <sz val="9"/>
      <color rgb="FF555555"/>
      <name val="Arial"/>
      <charset val="1"/>
    </font>
    <font>
      <sz val="9"/>
      <name val="Consolas"/>
      <charset val="1"/>
    </font>
    <font>
      <b/>
      <sz val="9"/>
      <name val="Consolas"/>
      <charset val="1"/>
    </font>
    <font>
      <i/>
      <sz val="10"/>
      <color rgb="FFC00000"/>
      <name val="Arial"/>
      <charset val="1"/>
    </font>
    <font>
      <sz val="10"/>
      <name val="Consolas"/>
      <charset val="1"/>
    </font>
    <font>
      <b/>
      <sz val="10"/>
      <color rgb="FF1F4E79"/>
      <name val="Consolas"/>
      <charset val="1"/>
    </font>
    <font>
      <sz val="9"/>
      <color rgb="FF333333"/>
      <name val="Consolas"/>
      <charset val="1"/>
    </font>
    <font>
      <b/>
      <sz val="11"/>
      <color rgb="FF1F4E79"/>
      <name val="Cambria"/>
      <charset val="1"/>
    </font>
    <font>
      <sz val="10"/>
      <color rgb="FF333333"/>
      <name val="Cambria"/>
      <charset val="1"/>
    </font>
    <font>
      <b/>
      <sz val="10"/>
      <color rgb="FF000000"/>
      <name val="Calibri"/>
      <charset val="1"/>
    </font>
    <font>
      <sz val="10"/>
      <color rgb="FF000000"/>
      <name val="Calibri"/>
      <charset val="1"/>
    </font>
  </fonts>
  <fills count="14">
    <fill>
      <patternFill patternType="none"/>
    </fill>
    <fill>
      <patternFill patternType="gray125"/>
    </fill>
    <fill>
      <patternFill patternType="solid">
        <fgColor rgb="FF1F3864"/>
        <bgColor rgb="FF1F4E79"/>
      </patternFill>
    </fill>
    <fill>
      <patternFill patternType="solid">
        <fgColor rgb="FF2E75B6"/>
        <bgColor rgb="FF4472C4"/>
      </patternFill>
    </fill>
    <fill>
      <patternFill patternType="solid">
        <fgColor rgb="FFD6E4F0"/>
        <bgColor rgb="FFD9D9D9"/>
      </patternFill>
    </fill>
    <fill>
      <patternFill patternType="solid">
        <fgColor rgb="FFF2F2F2"/>
        <bgColor rgb="FFEDF2F9"/>
      </patternFill>
    </fill>
    <fill>
      <patternFill patternType="solid">
        <fgColor rgb="FFE2EFDA"/>
        <bgColor rgb="FFEBF1F8"/>
      </patternFill>
    </fill>
    <fill>
      <patternFill patternType="solid">
        <fgColor rgb="FFFFF2CC"/>
        <bgColor rgb="FFFCE4D6"/>
      </patternFill>
    </fill>
    <fill>
      <patternFill patternType="solid">
        <fgColor rgb="FFFCE4D6"/>
        <bgColor rgb="FFFCE4EC"/>
      </patternFill>
    </fill>
    <fill>
      <patternFill patternType="solid">
        <fgColor rgb="FFEDF2F9"/>
        <bgColor rgb="FFEBF1F8"/>
      </patternFill>
    </fill>
    <fill>
      <patternFill patternType="solid">
        <fgColor rgb="FFFFFFFF"/>
        <bgColor rgb="FFF2F2F2"/>
      </patternFill>
    </fill>
    <fill>
      <patternFill patternType="solid">
        <fgColor rgb="FF1F4E79"/>
        <bgColor rgb="FF1F3864"/>
      </patternFill>
    </fill>
    <fill>
      <patternFill patternType="solid">
        <fgColor rgb="FFEBF1F8"/>
        <bgColor rgb="FFEDF2F9"/>
      </patternFill>
    </fill>
    <fill>
      <patternFill patternType="solid">
        <fgColor rgb="FFFCE4EC"/>
        <bgColor rgb="FFFCE4D6"/>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rgb="FFC5D3E0"/>
      </right>
      <top style="thin">
        <color rgb="FFC5D3E0"/>
      </top>
      <bottom style="thin">
        <color rgb="FFC5D3E0"/>
      </bottom>
      <diagonal/>
    </border>
    <border>
      <left style="thin">
        <color rgb="FFC5D3E0"/>
      </left>
      <right/>
      <top style="thin">
        <color rgb="FFC5D3E0"/>
      </top>
      <bottom style="thin">
        <color rgb="FFC5D3E0"/>
      </bottom>
      <diagonal/>
    </border>
    <border>
      <left style="thin">
        <color rgb="FFC5D3E0"/>
      </left>
      <right style="thin">
        <color auto="1"/>
      </right>
      <top style="thin">
        <color rgb="FFC5D3E0"/>
      </top>
      <bottom style="thin">
        <color rgb="FFC5D3E0"/>
      </bottom>
      <diagonal/>
    </border>
    <border>
      <left style="thin">
        <color rgb="FFC5D3E0"/>
      </left>
      <right/>
      <top/>
      <bottom/>
      <diagonal/>
    </border>
    <border>
      <left style="thin">
        <color rgb="FFC5D3E0"/>
      </left>
      <right style="thin">
        <color auto="1"/>
      </right>
      <top/>
      <bottom/>
      <diagonal/>
    </border>
    <border>
      <left style="thin">
        <color auto="1"/>
      </left>
      <right style="thin">
        <color rgb="FFC5D3E0"/>
      </right>
      <top style="thin">
        <color rgb="FFC5D3E0"/>
      </top>
      <bottom style="thin">
        <color auto="1"/>
      </bottom>
      <diagonal/>
    </border>
    <border>
      <left/>
      <right/>
      <top/>
      <bottom style="thin">
        <color auto="1"/>
      </bottom>
      <diagonal/>
    </border>
    <border>
      <left style="thin">
        <color rgb="FFC5D3E0"/>
      </left>
      <right/>
      <top/>
      <bottom style="thin">
        <color auto="1"/>
      </bottom>
      <diagonal/>
    </border>
    <border>
      <left style="thin">
        <color rgb="FFC5D3E0"/>
      </left>
      <right style="thin">
        <color auto="1"/>
      </right>
      <top/>
      <bottom style="thin">
        <color auto="1"/>
      </bottom>
      <diagonal/>
    </border>
    <border>
      <left style="thin">
        <color rgb="FFB0B0B0"/>
      </left>
      <right style="thin">
        <color rgb="FFB0B0B0"/>
      </right>
      <top style="thin">
        <color rgb="FFB0B0B0"/>
      </top>
      <bottom style="thin">
        <color rgb="FFB0B0B0"/>
      </bottom>
      <diagonal/>
    </border>
    <border>
      <left style="thin">
        <color rgb="FFC5D3E0"/>
      </left>
      <right style="thin">
        <color rgb="FFC5D3E0"/>
      </right>
      <top style="thin">
        <color rgb="FFC5D3E0"/>
      </top>
      <bottom style="thin">
        <color rgb="FFC5D3E0"/>
      </bottom>
      <diagonal/>
    </border>
    <border>
      <left style="thin">
        <color rgb="FFB0B0B0"/>
      </left>
      <right/>
      <top style="thin">
        <color rgb="FFB0B0B0"/>
      </top>
      <bottom style="thin">
        <color rgb="FFB0B0B0"/>
      </bottom>
      <diagonal/>
    </border>
    <border>
      <left/>
      <right/>
      <top/>
      <bottom style="medium">
        <color rgb="FF1F4E79"/>
      </bottom>
      <diagonal/>
    </border>
    <border>
      <left style="thin">
        <color rgb="FFD0D0D0"/>
      </left>
      <right style="thin">
        <color rgb="FFD0D0D0"/>
      </right>
      <top style="thin">
        <color rgb="FFD0D0D0"/>
      </top>
      <bottom style="thin">
        <color rgb="FFD0D0D0"/>
      </bottom>
      <diagonal/>
    </border>
    <border>
      <left style="thin">
        <color rgb="FFB0BEC5"/>
      </left>
      <right style="thin">
        <color rgb="FFB0BEC5"/>
      </right>
      <top style="thin">
        <color rgb="FFB0BEC5"/>
      </top>
      <bottom style="thin">
        <color rgb="FFB0BEC5"/>
      </bottom>
      <diagonal/>
    </border>
    <border>
      <left style="thin">
        <color rgb="FFB4C6D9"/>
      </left>
      <right style="thin">
        <color rgb="FFB4C6D9"/>
      </right>
      <top style="thin">
        <color rgb="FFB4C6D9"/>
      </top>
      <bottom style="thin">
        <color rgb="FFB4C6D9"/>
      </bottom>
      <diagonal/>
    </border>
    <border>
      <left style="thin">
        <color rgb="FFB0BEC5"/>
      </left>
      <right style="thin">
        <color rgb="FFB0BEC5"/>
      </right>
      <top style="medium">
        <color rgb="FF1F4E79"/>
      </top>
      <bottom style="medium">
        <color rgb="FF1F4E79"/>
      </bottom>
      <diagonal/>
    </border>
  </borders>
  <cellStyleXfs count="1">
    <xf numFmtId="0" fontId="0" fillId="0" borderId="0"/>
  </cellStyleXfs>
  <cellXfs count="195">
    <xf numFmtId="0" fontId="0" fillId="0" borderId="0" xfId="0"/>
    <xf numFmtId="0" fontId="1" fillId="0" borderId="4" xfId="0" applyFont="1" applyBorder="1"/>
    <xf numFmtId="0" fontId="1" fillId="0" borderId="0" xfId="0" applyFont="1"/>
    <xf numFmtId="0" fontId="1" fillId="0" borderId="3" xfId="0" applyFont="1" applyBorder="1"/>
    <xf numFmtId="0" fontId="4" fillId="3"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0" borderId="5" xfId="0" applyFont="1" applyBorder="1" applyAlignment="1">
      <alignment horizontal="left" vertical="center" wrapText="1"/>
    </xf>
    <xf numFmtId="0" fontId="10" fillId="9" borderId="6" xfId="0" applyFont="1" applyFill="1" applyBorder="1" applyAlignment="1">
      <alignment horizontal="center" vertical="center" wrapText="1"/>
    </xf>
    <xf numFmtId="0" fontId="10" fillId="10" borderId="6" xfId="0" applyFont="1" applyFill="1" applyBorder="1"/>
    <xf numFmtId="0" fontId="10" fillId="9" borderId="6" xfId="0" applyFont="1" applyFill="1" applyBorder="1"/>
    <xf numFmtId="0" fontId="10" fillId="10" borderId="11" xfId="0" applyFont="1" applyFill="1" applyBorder="1"/>
    <xf numFmtId="0" fontId="1" fillId="0" borderId="12" xfId="0" applyFont="1" applyBorder="1"/>
    <xf numFmtId="0" fontId="16" fillId="0" borderId="0" xfId="0" applyFont="1"/>
    <xf numFmtId="0" fontId="4" fillId="11" borderId="15" xfId="0" applyFont="1" applyFill="1" applyBorder="1" applyAlignment="1">
      <alignment horizontal="center" vertical="center" wrapText="1"/>
    </xf>
    <xf numFmtId="0" fontId="4" fillId="11" borderId="16" xfId="0" applyFont="1" applyFill="1" applyBorder="1" applyAlignment="1">
      <alignment horizontal="center" vertical="center" wrapText="1"/>
    </xf>
    <xf numFmtId="0" fontId="17" fillId="10" borderId="15" xfId="0" applyFont="1" applyFill="1" applyBorder="1" applyAlignment="1">
      <alignment horizontal="left" vertical="center" wrapText="1"/>
    </xf>
    <xf numFmtId="0" fontId="19" fillId="0" borderId="0" xfId="0" applyFont="1" applyAlignment="1">
      <alignment horizontal="left" vertical="center" wrapText="1"/>
    </xf>
    <xf numFmtId="0" fontId="20" fillId="10" borderId="18" xfId="0" applyFont="1" applyFill="1" applyBorder="1" applyAlignment="1">
      <alignment horizontal="left" vertical="center" wrapText="1"/>
    </xf>
    <xf numFmtId="0" fontId="18" fillId="7" borderId="15"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21" fillId="12" borderId="15"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23" fillId="0" borderId="0" xfId="0" applyFont="1" applyAlignment="1">
      <alignment horizontal="left" vertical="center" wrapText="1"/>
    </xf>
    <xf numFmtId="0" fontId="24" fillId="7" borderId="15" xfId="0" applyFont="1" applyFill="1" applyBorder="1" applyAlignment="1">
      <alignment horizontal="center" vertical="center" wrapText="1"/>
    </xf>
    <xf numFmtId="0" fontId="25" fillId="0" borderId="0" xfId="0" applyFont="1"/>
    <xf numFmtId="0" fontId="26" fillId="0" borderId="0" xfId="0" applyFont="1"/>
    <xf numFmtId="0" fontId="27" fillId="0" borderId="0" xfId="0" applyFont="1"/>
    <xf numFmtId="0" fontId="23" fillId="0" borderId="0" xfId="0" applyFont="1"/>
    <xf numFmtId="0" fontId="21" fillId="10" borderId="15" xfId="0" applyFont="1" applyFill="1" applyBorder="1" applyAlignment="1">
      <alignment horizontal="left" vertical="center" wrapText="1"/>
    </xf>
    <xf numFmtId="0" fontId="28" fillId="11" borderId="19" xfId="0" applyFont="1" applyFill="1" applyBorder="1" applyAlignment="1">
      <alignment horizontal="center" vertical="center"/>
    </xf>
    <xf numFmtId="0" fontId="29" fillId="7" borderId="15" xfId="0" applyFont="1" applyFill="1" applyBorder="1" applyAlignment="1">
      <alignment horizontal="center" vertical="center" wrapText="1"/>
    </xf>
    <xf numFmtId="0" fontId="29" fillId="7" borderId="15" xfId="0" applyFont="1" applyFill="1" applyBorder="1" applyAlignment="1">
      <alignment horizontal="left" vertical="center" wrapText="1"/>
    </xf>
    <xf numFmtId="0" fontId="30" fillId="7" borderId="19" xfId="0" applyFont="1" applyFill="1" applyBorder="1" applyAlignment="1">
      <alignment horizontal="center" vertical="center"/>
    </xf>
    <xf numFmtId="0" fontId="31" fillId="7" borderId="15" xfId="0" applyFont="1" applyFill="1" applyBorder="1" applyAlignment="1">
      <alignment horizontal="center" vertical="center" wrapText="1"/>
    </xf>
    <xf numFmtId="0" fontId="18" fillId="7" borderId="15" xfId="0" applyFont="1" applyFill="1" applyBorder="1" applyAlignment="1">
      <alignment horizontal="left" vertical="center" wrapText="1"/>
    </xf>
    <xf numFmtId="0" fontId="5" fillId="7" borderId="15" xfId="0" applyFont="1" applyFill="1" applyBorder="1" applyAlignment="1">
      <alignment horizontal="center" vertical="center" wrapText="1"/>
    </xf>
    <xf numFmtId="0" fontId="5" fillId="7" borderId="15" xfId="0" applyFont="1" applyFill="1" applyBorder="1" applyAlignment="1">
      <alignment horizontal="left" vertical="center" wrapText="1"/>
    </xf>
    <xf numFmtId="0" fontId="32" fillId="13" borderId="19" xfId="0" applyFont="1" applyFill="1" applyBorder="1" applyAlignment="1">
      <alignment horizontal="center" vertical="center"/>
    </xf>
    <xf numFmtId="0" fontId="33" fillId="4" borderId="16" xfId="0" applyFont="1" applyFill="1" applyBorder="1" applyAlignment="1">
      <alignment horizontal="left" vertical="center" wrapText="1"/>
    </xf>
    <xf numFmtId="0" fontId="1" fillId="10" borderId="15" xfId="0" applyFont="1" applyFill="1" applyBorder="1"/>
    <xf numFmtId="0" fontId="33" fillId="4" borderId="16" xfId="0" applyFont="1" applyFill="1" applyBorder="1" applyAlignment="1">
      <alignment horizontal="center" vertical="center" wrapText="1"/>
    </xf>
    <xf numFmtId="0" fontId="34" fillId="0" borderId="0" xfId="0" applyFont="1"/>
    <xf numFmtId="0" fontId="20" fillId="10" borderId="18" xfId="0" applyFont="1" applyFill="1" applyBorder="1"/>
    <xf numFmtId="0" fontId="4" fillId="11" borderId="20" xfId="0" applyFont="1" applyFill="1" applyBorder="1" applyAlignment="1">
      <alignment horizontal="center" vertical="center" wrapText="1"/>
    </xf>
    <xf numFmtId="0" fontId="18" fillId="7" borderId="20" xfId="0" applyFont="1" applyFill="1" applyBorder="1" applyAlignment="1">
      <alignment horizontal="center" vertical="center" wrapText="1"/>
    </xf>
    <xf numFmtId="0" fontId="33" fillId="4" borderId="16" xfId="0" applyFont="1" applyFill="1" applyBorder="1"/>
    <xf numFmtId="0" fontId="6" fillId="12" borderId="15" xfId="0" applyFont="1" applyFill="1" applyBorder="1" applyAlignment="1">
      <alignment horizontal="left" vertical="center" wrapText="1"/>
    </xf>
    <xf numFmtId="0" fontId="1" fillId="12" borderId="15" xfId="0" applyFont="1" applyFill="1" applyBorder="1"/>
    <xf numFmtId="0" fontId="33" fillId="0" borderId="0" xfId="0" applyFont="1"/>
    <xf numFmtId="0" fontId="6" fillId="11" borderId="15" xfId="0" applyFont="1" applyFill="1" applyBorder="1" applyAlignment="1">
      <alignment horizontal="center" vertical="center" wrapText="1"/>
    </xf>
    <xf numFmtId="0" fontId="35" fillId="0" borderId="0" xfId="0" applyFont="1"/>
    <xf numFmtId="0" fontId="5" fillId="0" borderId="0" xfId="0" applyFont="1"/>
    <xf numFmtId="0" fontId="36" fillId="0" borderId="0" xfId="0" applyFont="1"/>
    <xf numFmtId="0" fontId="37" fillId="0" borderId="0" xfId="0" applyFont="1"/>
    <xf numFmtId="0" fontId="38" fillId="0" borderId="0" xfId="0" applyFont="1"/>
    <xf numFmtId="0" fontId="0" fillId="0" borderId="0" xfId="0" applyAlignment="1">
      <alignment wrapText="1"/>
    </xf>
    <xf numFmtId="0" fontId="1" fillId="0" borderId="0" xfId="0" applyFont="1" applyAlignment="1">
      <alignment wrapText="1"/>
    </xf>
    <xf numFmtId="0" fontId="13" fillId="4" borderId="16" xfId="0" applyFont="1" applyFill="1" applyBorder="1" applyAlignment="1">
      <alignment horizontal="center" vertical="center" wrapText="1"/>
    </xf>
    <xf numFmtId="0" fontId="10" fillId="12" borderId="16" xfId="0" applyFont="1" applyFill="1" applyBorder="1" applyAlignment="1">
      <alignment horizontal="left" vertical="center" wrapText="1"/>
    </xf>
    <xf numFmtId="0" fontId="10" fillId="12" borderId="16" xfId="0" applyFont="1" applyFill="1" applyBorder="1" applyAlignment="1">
      <alignment horizontal="center" vertical="center" wrapText="1"/>
    </xf>
    <xf numFmtId="0" fontId="41" fillId="13" borderId="16" xfId="0" applyFont="1" applyFill="1" applyBorder="1" applyAlignment="1">
      <alignment horizontal="left" vertical="center" wrapText="1"/>
    </xf>
    <xf numFmtId="0" fontId="10" fillId="10" borderId="16" xfId="0" applyFont="1" applyFill="1" applyBorder="1" applyAlignment="1">
      <alignment horizontal="left" vertical="center" wrapText="1"/>
    </xf>
    <xf numFmtId="0" fontId="10" fillId="10" borderId="16" xfId="0" applyFont="1" applyFill="1" applyBorder="1" applyAlignment="1">
      <alignment horizontal="center" vertical="center" wrapText="1"/>
    </xf>
    <xf numFmtId="0" fontId="21" fillId="10" borderId="15" xfId="0" applyFont="1" applyFill="1" applyBorder="1" applyAlignment="1">
      <alignment horizontal="center" vertical="center" wrapText="1"/>
    </xf>
    <xf numFmtId="0" fontId="21" fillId="12" borderId="15" xfId="0" applyFont="1" applyFill="1" applyBorder="1" applyAlignment="1">
      <alignment horizontal="left" vertical="center" wrapText="1"/>
    </xf>
    <xf numFmtId="0" fontId="43" fillId="0" borderId="0" xfId="0" applyFont="1" applyAlignment="1">
      <alignment wrapText="1"/>
    </xf>
    <xf numFmtId="0" fontId="4" fillId="3" borderId="21" xfId="0" applyFont="1" applyFill="1" applyBorder="1" applyAlignment="1">
      <alignment horizontal="center" vertical="center" wrapText="1"/>
    </xf>
    <xf numFmtId="2" fontId="10" fillId="12" borderId="16" xfId="0" applyNumberFormat="1" applyFont="1" applyFill="1" applyBorder="1" applyAlignment="1">
      <alignment horizontal="center" vertical="center" wrapText="1"/>
    </xf>
    <xf numFmtId="164" fontId="10" fillId="12" borderId="16" xfId="0" applyNumberFormat="1" applyFont="1" applyFill="1" applyBorder="1" applyAlignment="1">
      <alignment horizontal="center" vertical="center" wrapText="1"/>
    </xf>
    <xf numFmtId="164" fontId="44" fillId="0" borderId="21" xfId="0" applyNumberFormat="1" applyFont="1" applyBorder="1" applyAlignment="1">
      <alignment horizontal="center" vertical="center" wrapText="1"/>
    </xf>
    <xf numFmtId="0" fontId="44" fillId="0" borderId="21" xfId="0" applyFont="1" applyBorder="1" applyAlignment="1">
      <alignment horizontal="center" vertical="center" wrapText="1"/>
    </xf>
    <xf numFmtId="2" fontId="10" fillId="10" borderId="16" xfId="0" applyNumberFormat="1" applyFont="1" applyFill="1" applyBorder="1" applyAlignment="1">
      <alignment horizontal="center" vertical="center" wrapText="1"/>
    </xf>
    <xf numFmtId="164" fontId="10" fillId="10" borderId="16" xfId="0" applyNumberFormat="1" applyFont="1" applyFill="1" applyBorder="1" applyAlignment="1">
      <alignment horizontal="center" vertical="center" wrapText="1"/>
    </xf>
    <xf numFmtId="0" fontId="20" fillId="0" borderId="0" xfId="0" applyFont="1" applyAlignment="1">
      <alignment wrapText="1"/>
    </xf>
    <xf numFmtId="0" fontId="33" fillId="12" borderId="20" xfId="0" applyFont="1" applyFill="1" applyBorder="1" applyAlignment="1">
      <alignment wrapText="1"/>
    </xf>
    <xf numFmtId="0" fontId="0" fillId="12" borderId="20" xfId="0" applyFill="1" applyBorder="1" applyAlignment="1">
      <alignment wrapText="1"/>
    </xf>
    <xf numFmtId="0" fontId="41" fillId="12" borderId="20" xfId="0" applyFont="1" applyFill="1" applyBorder="1" applyAlignment="1">
      <alignment horizontal="left" vertical="center" wrapText="1"/>
    </xf>
    <xf numFmtId="0" fontId="10" fillId="12" borderId="20" xfId="0" applyFont="1" applyFill="1" applyBorder="1" applyAlignment="1">
      <alignment horizontal="left" vertical="center" wrapText="1"/>
    </xf>
    <xf numFmtId="0" fontId="0" fillId="12" borderId="20" xfId="0" applyFill="1" applyBorder="1" applyAlignment="1">
      <alignment horizontal="left" vertical="center" wrapText="1"/>
    </xf>
    <xf numFmtId="0" fontId="33" fillId="10" borderId="20" xfId="0" applyFont="1" applyFill="1" applyBorder="1" applyAlignment="1">
      <alignment wrapText="1"/>
    </xf>
    <xf numFmtId="0" fontId="0" fillId="10" borderId="20" xfId="0" applyFill="1" applyBorder="1" applyAlignment="1">
      <alignment wrapText="1"/>
    </xf>
    <xf numFmtId="0" fontId="45" fillId="10" borderId="20" xfId="0" applyFont="1" applyFill="1" applyBorder="1" applyAlignment="1">
      <alignment horizontal="left" vertical="center" wrapText="1"/>
    </xf>
    <xf numFmtId="0" fontId="0" fillId="10" borderId="20" xfId="0" applyFill="1" applyBorder="1" applyAlignment="1">
      <alignment horizontal="left" vertical="center" wrapText="1"/>
    </xf>
    <xf numFmtId="165" fontId="45" fillId="12" borderId="20" xfId="0" applyNumberFormat="1" applyFont="1" applyFill="1" applyBorder="1" applyAlignment="1">
      <alignment horizontal="left" vertical="center" wrapText="1"/>
    </xf>
    <xf numFmtId="0" fontId="33" fillId="0" borderId="0" xfId="0" applyFont="1" applyAlignment="1">
      <alignment wrapText="1"/>
    </xf>
    <xf numFmtId="0" fontId="41" fillId="12" borderId="20" xfId="0" applyFont="1" applyFill="1" applyBorder="1" applyAlignment="1">
      <alignment wrapText="1"/>
    </xf>
    <xf numFmtId="0" fontId="41" fillId="10" borderId="20" xfId="0" applyFont="1" applyFill="1" applyBorder="1" applyAlignment="1">
      <alignment wrapText="1"/>
    </xf>
    <xf numFmtId="0" fontId="10" fillId="10" borderId="20" xfId="0" applyFont="1" applyFill="1" applyBorder="1" applyAlignment="1">
      <alignment horizontal="left" vertical="center" wrapText="1"/>
    </xf>
    <xf numFmtId="0" fontId="46" fillId="12" borderId="20" xfId="0" applyFont="1" applyFill="1" applyBorder="1" applyAlignment="1">
      <alignment wrapText="1"/>
    </xf>
    <xf numFmtId="0" fontId="46" fillId="10" borderId="20" xfId="0" applyFont="1" applyFill="1" applyBorder="1" applyAlignment="1">
      <alignment wrapText="1"/>
    </xf>
    <xf numFmtId="0" fontId="33" fillId="4" borderId="20" xfId="0" applyFont="1" applyFill="1" applyBorder="1" applyAlignment="1">
      <alignment wrapText="1"/>
    </xf>
    <xf numFmtId="0" fontId="0" fillId="4" borderId="20" xfId="0" applyFill="1" applyBorder="1" applyAlignment="1">
      <alignment wrapText="1"/>
    </xf>
    <xf numFmtId="3" fontId="10" fillId="12" borderId="16" xfId="0" applyNumberFormat="1" applyFont="1" applyFill="1" applyBorder="1" applyAlignment="1">
      <alignment horizontal="center" vertical="center" wrapText="1"/>
    </xf>
    <xf numFmtId="0" fontId="40" fillId="10" borderId="16" xfId="0" applyFont="1" applyFill="1" applyBorder="1" applyAlignment="1">
      <alignment horizontal="left" vertical="center" wrapText="1"/>
    </xf>
    <xf numFmtId="0" fontId="40" fillId="10" borderId="16" xfId="0" applyFont="1" applyFill="1" applyBorder="1" applyAlignment="1">
      <alignment horizontal="center" vertical="center" wrapText="1"/>
    </xf>
    <xf numFmtId="0" fontId="44" fillId="10" borderId="20" xfId="0" applyFont="1" applyFill="1" applyBorder="1" applyAlignment="1">
      <alignment horizontal="left" vertical="center" wrapText="1"/>
    </xf>
    <xf numFmtId="3" fontId="10" fillId="10" borderId="16" xfId="0" applyNumberFormat="1" applyFont="1" applyFill="1" applyBorder="1" applyAlignment="1">
      <alignment horizontal="center" vertical="center" wrapText="1"/>
    </xf>
    <xf numFmtId="0" fontId="40" fillId="12" borderId="16" xfId="0" applyFont="1" applyFill="1" applyBorder="1" applyAlignment="1">
      <alignment horizontal="left" vertical="center" wrapText="1"/>
    </xf>
    <xf numFmtId="0" fontId="40" fillId="12" borderId="16" xfId="0" applyFont="1" applyFill="1" applyBorder="1" applyAlignment="1">
      <alignment horizontal="center" vertical="center" wrapText="1"/>
    </xf>
    <xf numFmtId="0" fontId="44" fillId="12" borderId="20" xfId="0" applyFont="1" applyFill="1" applyBorder="1" applyAlignment="1">
      <alignment horizontal="left" vertical="center" wrapText="1"/>
    </xf>
    <xf numFmtId="3" fontId="33" fillId="4" borderId="16" xfId="0" applyNumberFormat="1" applyFont="1" applyFill="1" applyBorder="1" applyAlignment="1">
      <alignment horizontal="center" vertical="center" wrapText="1"/>
    </xf>
    <xf numFmtId="0" fontId="1" fillId="12" borderId="15" xfId="0" applyFont="1" applyFill="1" applyBorder="1" applyAlignment="1">
      <alignment wrapText="1"/>
    </xf>
    <xf numFmtId="0" fontId="16" fillId="0" borderId="0" xfId="0" applyFont="1" applyAlignment="1">
      <alignment wrapText="1"/>
    </xf>
    <xf numFmtId="3" fontId="4" fillId="11" borderId="16" xfId="0" applyNumberFormat="1" applyFont="1" applyFill="1" applyBorder="1" applyAlignment="1">
      <alignment horizontal="center" vertical="center" wrapText="1"/>
    </xf>
    <xf numFmtId="3" fontId="10" fillId="12" borderId="16" xfId="0" applyNumberFormat="1" applyFont="1" applyFill="1" applyBorder="1" applyAlignment="1">
      <alignment horizontal="right" vertical="center" wrapText="1"/>
    </xf>
    <xf numFmtId="0" fontId="10" fillId="12" borderId="16" xfId="0" applyFont="1" applyFill="1" applyBorder="1" applyAlignment="1">
      <alignment horizontal="right" vertical="center" wrapText="1"/>
    </xf>
    <xf numFmtId="3" fontId="10" fillId="10" borderId="16" xfId="0" applyNumberFormat="1" applyFont="1" applyFill="1" applyBorder="1" applyAlignment="1">
      <alignment horizontal="right" vertical="center" wrapText="1"/>
    </xf>
    <xf numFmtId="0" fontId="10" fillId="10" borderId="16" xfId="0" applyFont="1" applyFill="1" applyBorder="1" applyAlignment="1">
      <alignment horizontal="right" vertical="center" wrapText="1"/>
    </xf>
    <xf numFmtId="0" fontId="47" fillId="3" borderId="16" xfId="0" applyFont="1" applyFill="1" applyBorder="1" applyAlignment="1">
      <alignment horizontal="left" vertical="center" wrapText="1"/>
    </xf>
    <xf numFmtId="0" fontId="47" fillId="3" borderId="16" xfId="0" applyFont="1" applyFill="1" applyBorder="1" applyAlignment="1">
      <alignment horizontal="center" vertical="center" wrapText="1"/>
    </xf>
    <xf numFmtId="3" fontId="47" fillId="3" borderId="16" xfId="0" applyNumberFormat="1" applyFont="1" applyFill="1" applyBorder="1" applyAlignment="1">
      <alignment horizontal="center" vertical="center" wrapText="1"/>
    </xf>
    <xf numFmtId="0" fontId="48" fillId="12" borderId="16" xfId="0" applyFont="1" applyFill="1" applyBorder="1" applyAlignment="1">
      <alignment horizontal="left" vertical="center" wrapText="1"/>
    </xf>
    <xf numFmtId="0" fontId="48" fillId="10" borderId="16" xfId="0" applyFont="1" applyFill="1" applyBorder="1" applyAlignment="1">
      <alignment horizontal="left" vertical="center" wrapText="1"/>
    </xf>
    <xf numFmtId="0" fontId="49" fillId="6" borderId="16" xfId="0" applyFont="1" applyFill="1" applyBorder="1" applyAlignment="1">
      <alignment horizontal="left" vertical="center" wrapText="1"/>
    </xf>
    <xf numFmtId="0" fontId="40" fillId="10" borderId="15" xfId="0" applyFont="1" applyFill="1" applyBorder="1" applyAlignment="1">
      <alignment horizontal="left" vertical="center" wrapText="1"/>
    </xf>
    <xf numFmtId="0" fontId="40" fillId="10" borderId="15" xfId="0" applyFont="1" applyFill="1" applyBorder="1" applyAlignment="1">
      <alignment horizontal="center" vertical="center" wrapText="1"/>
    </xf>
    <xf numFmtId="0" fontId="10" fillId="0" borderId="0" xfId="0" applyFont="1" applyAlignment="1">
      <alignment wrapText="1"/>
    </xf>
    <xf numFmtId="0" fontId="10" fillId="12" borderId="20" xfId="0" applyFont="1" applyFill="1" applyBorder="1" applyAlignment="1">
      <alignment horizontal="center" vertical="center" wrapText="1"/>
    </xf>
    <xf numFmtId="164" fontId="10" fillId="12" borderId="20" xfId="0" applyNumberFormat="1" applyFont="1" applyFill="1" applyBorder="1" applyAlignment="1">
      <alignment horizontal="center" vertical="center" wrapText="1"/>
    </xf>
    <xf numFmtId="0" fontId="10" fillId="10" borderId="20" xfId="0" applyFont="1" applyFill="1" applyBorder="1" applyAlignment="1">
      <alignment horizontal="center" vertical="center" wrapText="1"/>
    </xf>
    <xf numFmtId="164" fontId="10" fillId="10" borderId="20" xfId="0" applyNumberFormat="1" applyFont="1" applyFill="1" applyBorder="1" applyAlignment="1">
      <alignment horizontal="center" vertical="center" wrapText="1"/>
    </xf>
    <xf numFmtId="0" fontId="33" fillId="4" borderId="22" xfId="0" applyFont="1" applyFill="1" applyBorder="1" applyAlignment="1">
      <alignment wrapText="1"/>
    </xf>
    <xf numFmtId="0" fontId="10" fillId="4" borderId="22" xfId="0" applyFont="1" applyFill="1" applyBorder="1" applyAlignment="1">
      <alignment wrapText="1"/>
    </xf>
    <xf numFmtId="164" fontId="33" fillId="4" borderId="22" xfId="0" applyNumberFormat="1" applyFont="1" applyFill="1" applyBorder="1" applyAlignment="1">
      <alignment horizontal="center" vertical="center" wrapText="1"/>
    </xf>
    <xf numFmtId="166" fontId="10" fillId="10" borderId="16" xfId="0" applyNumberFormat="1" applyFont="1" applyFill="1" applyBorder="1" applyAlignment="1">
      <alignment horizontal="left" vertical="center" wrapText="1"/>
    </xf>
    <xf numFmtId="165" fontId="10" fillId="12" borderId="16" xfId="0" applyNumberFormat="1" applyFont="1" applyFill="1" applyBorder="1" applyAlignment="1">
      <alignment horizontal="right" vertical="center" wrapText="1"/>
    </xf>
    <xf numFmtId="165" fontId="10" fillId="10" borderId="16" xfId="0" applyNumberFormat="1" applyFont="1" applyFill="1" applyBorder="1" applyAlignment="1">
      <alignment horizontal="right" vertical="center" wrapText="1"/>
    </xf>
    <xf numFmtId="165" fontId="47" fillId="3" borderId="16" xfId="0" applyNumberFormat="1" applyFont="1" applyFill="1" applyBorder="1" applyAlignment="1">
      <alignment horizontal="center" vertical="center" wrapText="1"/>
    </xf>
    <xf numFmtId="0" fontId="50" fillId="12" borderId="16" xfId="0" applyFont="1" applyFill="1" applyBorder="1" applyAlignment="1">
      <alignment horizontal="center" vertical="center" wrapText="1"/>
    </xf>
    <xf numFmtId="0" fontId="50" fillId="10" borderId="16" xfId="0" applyFont="1" applyFill="1" applyBorder="1" applyAlignment="1">
      <alignment horizontal="center" vertical="center" wrapText="1"/>
    </xf>
    <xf numFmtId="0" fontId="6" fillId="0" borderId="0" xfId="0" applyFont="1" applyAlignment="1">
      <alignment horizontal="left" vertical="center" wrapText="1"/>
    </xf>
    <xf numFmtId="0" fontId="21" fillId="0" borderId="0" xfId="0" applyFont="1" applyAlignment="1">
      <alignment wrapText="1"/>
    </xf>
    <xf numFmtId="0" fontId="51" fillId="0" borderId="0" xfId="0" applyFont="1" applyAlignment="1">
      <alignment horizontal="left" vertical="center" wrapText="1"/>
    </xf>
    <xf numFmtId="0" fontId="20" fillId="4" borderId="18" xfId="0" applyFont="1" applyFill="1" applyBorder="1" applyAlignment="1">
      <alignment wrapText="1"/>
    </xf>
    <xf numFmtId="0" fontId="0" fillId="4" borderId="18" xfId="0" applyFill="1" applyBorder="1" applyAlignment="1">
      <alignment wrapText="1"/>
    </xf>
    <xf numFmtId="0" fontId="16" fillId="0" borderId="0" xfId="0" applyFont="1" applyAlignment="1">
      <alignment horizontal="left" vertical="center" wrapText="1"/>
    </xf>
    <xf numFmtId="0" fontId="52" fillId="0" borderId="0" xfId="0" applyFont="1" applyAlignment="1">
      <alignment horizontal="left" vertical="center" wrapText="1"/>
    </xf>
    <xf numFmtId="0" fontId="20" fillId="0" borderId="0" xfId="0" applyFont="1" applyAlignment="1">
      <alignment horizontal="left" vertical="center" wrapText="1"/>
    </xf>
    <xf numFmtId="0" fontId="10" fillId="0" borderId="0" xfId="0" applyFont="1" applyAlignment="1">
      <alignment horizontal="left" vertical="center" wrapText="1"/>
    </xf>
    <xf numFmtId="0" fontId="53" fillId="0" borderId="0" xfId="0" applyFont="1" applyAlignment="1">
      <alignment horizontal="left" vertical="center" wrapText="1"/>
    </xf>
    <xf numFmtId="0" fontId="54" fillId="0" borderId="0" xfId="0" applyFont="1" applyAlignment="1">
      <alignment horizontal="left" vertical="center" wrapText="1"/>
    </xf>
    <xf numFmtId="0" fontId="10" fillId="0" borderId="0" xfId="0" applyFont="1"/>
    <xf numFmtId="0" fontId="52" fillId="0" borderId="0" xfId="0" applyFont="1"/>
    <xf numFmtId="0" fontId="54" fillId="0" borderId="0" xfId="0" applyFont="1"/>
    <xf numFmtId="0" fontId="20" fillId="0" borderId="0" xfId="0" applyFont="1"/>
    <xf numFmtId="0" fontId="53" fillId="0" borderId="0" xfId="0" applyFont="1"/>
    <xf numFmtId="0" fontId="48" fillId="0" borderId="0" xfId="0" applyFont="1"/>
    <xf numFmtId="0" fontId="55" fillId="0" borderId="0" xfId="0" applyFont="1"/>
    <xf numFmtId="0" fontId="56" fillId="0" borderId="0" xfId="0" applyFont="1"/>
    <xf numFmtId="0" fontId="57" fillId="0" borderId="0" xfId="0" applyFont="1"/>
    <xf numFmtId="0" fontId="58" fillId="0" borderId="0" xfId="0" applyFont="1" applyAlignment="1">
      <alignment horizontal="left" vertical="center" wrapText="1"/>
    </xf>
    <xf numFmtId="0" fontId="59" fillId="0" borderId="0" xfId="0" applyFont="1" applyAlignment="1">
      <alignment horizontal="left" vertical="center" wrapText="1"/>
    </xf>
    <xf numFmtId="0" fontId="60" fillId="0" borderId="0" xfId="0" applyFont="1"/>
    <xf numFmtId="0" fontId="61" fillId="0" borderId="0" xfId="0" applyFont="1"/>
    <xf numFmtId="0" fontId="1" fillId="0" borderId="0" xfId="0" applyFont="1"/>
    <xf numFmtId="0" fontId="11" fillId="0" borderId="0" xfId="0" applyFont="1"/>
    <xf numFmtId="0" fontId="10" fillId="10" borderId="7" xfId="0" applyFont="1" applyFill="1" applyBorder="1"/>
    <xf numFmtId="0" fontId="10" fillId="10" borderId="8" xfId="0" applyFont="1" applyFill="1" applyBorder="1"/>
    <xf numFmtId="0" fontId="10" fillId="9" borderId="9" xfId="0" applyFont="1" applyFill="1" applyBorder="1" applyAlignment="1">
      <alignment horizontal="center"/>
    </xf>
    <xf numFmtId="0" fontId="10" fillId="9" borderId="10" xfId="0" applyFont="1" applyFill="1" applyBorder="1" applyAlignment="1">
      <alignment horizontal="center"/>
    </xf>
    <xf numFmtId="0" fontId="10" fillId="10" borderId="13" xfId="0" applyFont="1" applyFill="1" applyBorder="1" applyAlignment="1">
      <alignment horizontal="center"/>
    </xf>
    <xf numFmtId="0" fontId="10" fillId="10" borderId="14" xfId="0" applyFont="1" applyFill="1" applyBorder="1" applyAlignment="1">
      <alignment horizontal="center"/>
    </xf>
    <xf numFmtId="0" fontId="10" fillId="9" borderId="7" xfId="0" applyFont="1" applyFill="1" applyBorder="1"/>
    <xf numFmtId="0" fontId="10" fillId="9" borderId="8" xfId="0" applyFont="1" applyFill="1" applyBorder="1"/>
    <xf numFmtId="0" fontId="1" fillId="0" borderId="4" xfId="0" applyFont="1" applyBorder="1"/>
    <xf numFmtId="0" fontId="5" fillId="0" borderId="5" xfId="0" applyFont="1" applyBorder="1" applyAlignment="1">
      <alignment horizontal="left" vertical="center" wrapText="1"/>
    </xf>
    <xf numFmtId="0" fontId="9" fillId="8" borderId="1" xfId="0" applyFont="1" applyFill="1" applyBorder="1" applyAlignment="1">
      <alignment horizontal="left" vertical="top" wrapText="1"/>
    </xf>
    <xf numFmtId="0" fontId="1" fillId="0" borderId="2" xfId="0" applyFont="1" applyBorder="1"/>
    <xf numFmtId="0" fontId="4" fillId="3" borderId="2" xfId="0" applyFont="1" applyFill="1" applyBorder="1" applyAlignment="1">
      <alignment horizontal="center" vertical="center" wrapText="1"/>
    </xf>
    <xf numFmtId="0" fontId="7" fillId="7"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8" fillId="0" borderId="4"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5" fillId="4" borderId="2" xfId="0" applyFont="1" applyFill="1" applyBorder="1" applyAlignment="1">
      <alignment horizontal="left" vertical="top" wrapText="1"/>
    </xf>
    <xf numFmtId="0" fontId="18" fillId="7" borderId="17" xfId="0" applyFont="1" applyFill="1" applyBorder="1" applyAlignment="1">
      <alignment horizontal="center" vertical="center" wrapText="1"/>
    </xf>
    <xf numFmtId="0" fontId="12" fillId="0" borderId="0" xfId="0" applyFont="1" applyAlignment="1">
      <alignment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4" fillId="11" borderId="7" xfId="0" applyFont="1" applyFill="1" applyBorder="1" applyAlignment="1">
      <alignment horizontal="center" vertical="center" wrapText="1"/>
    </xf>
    <xf numFmtId="0" fontId="10" fillId="12" borderId="20" xfId="0" applyFont="1" applyFill="1" applyBorder="1" applyAlignment="1">
      <alignment horizontal="left" vertical="center" wrapText="1"/>
    </xf>
    <xf numFmtId="0" fontId="10" fillId="10" borderId="20" xfId="0" applyFont="1" applyFill="1" applyBorder="1" applyAlignment="1">
      <alignment horizontal="left" vertical="center" wrapText="1"/>
    </xf>
    <xf numFmtId="0" fontId="10" fillId="4" borderId="20" xfId="0" applyFont="1" applyFill="1" applyBorder="1" applyAlignment="1">
      <alignment horizontal="left" vertical="center" wrapText="1"/>
    </xf>
    <xf numFmtId="0" fontId="39" fillId="0" borderId="0" xfId="0" applyFont="1" applyAlignment="1">
      <alignment horizontal="left" vertical="center" wrapText="1"/>
    </xf>
    <xf numFmtId="0" fontId="40" fillId="10" borderId="0" xfId="0" applyFont="1" applyFill="1" applyAlignment="1">
      <alignment horizontal="left" vertical="center" wrapText="1"/>
    </xf>
    <xf numFmtId="0" fontId="42" fillId="0" borderId="0" xfId="0" applyFont="1" applyAlignment="1">
      <alignment wrapText="1"/>
    </xf>
    <xf numFmtId="0" fontId="19" fillId="0" borderId="0" xfId="0" applyFont="1" applyAlignment="1">
      <alignment horizontal="left" vertical="center" wrapText="1"/>
    </xf>
    <xf numFmtId="0" fontId="20" fillId="10" borderId="18" xfId="0" applyFont="1" applyFill="1" applyBorder="1" applyAlignment="1">
      <alignment horizontal="left" vertical="center" wrapText="1"/>
    </xf>
    <xf numFmtId="0" fontId="40" fillId="10" borderId="0" xfId="0" applyFont="1" applyFill="1" applyAlignment="1">
      <alignment vertical="center" wrapText="1"/>
    </xf>
    <xf numFmtId="0" fontId="10" fillId="10" borderId="16" xfId="0" applyFont="1" applyFill="1" applyBorder="1" applyAlignment="1">
      <alignment horizontal="left" vertical="center" wrapText="1"/>
    </xf>
    <xf numFmtId="0" fontId="10" fillId="12"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CE4EC"/>
      <rgbColor rgb="FFFF00FF"/>
      <rgbColor rgb="FF00FFFF"/>
      <rgbColor rgb="FFC00000"/>
      <rgbColor rgb="FF006100"/>
      <rgbColor rgb="FF000080"/>
      <rgbColor rgb="FF548235"/>
      <rgbColor rgb="FF800080"/>
      <rgbColor rgb="FF008080"/>
      <rgbColor rgb="FFB0BEC5"/>
      <rgbColor rgb="FF808080"/>
      <rgbColor rgb="FFB0B0B0"/>
      <rgbColor rgb="FF993366"/>
      <rgbColor rgb="FFFFF2CC"/>
      <rgbColor rgb="FFEBF1F8"/>
      <rgbColor rgb="FF660066"/>
      <rgbColor rgb="FF888888"/>
      <rgbColor rgb="FF2E75B6"/>
      <rgbColor rgb="FFC5D3E0"/>
      <rgbColor rgb="FF000080"/>
      <rgbColor rgb="FFFF00FF"/>
      <rgbColor rgb="FFF2F2F2"/>
      <rgbColor rgb="FF00FFFF"/>
      <rgbColor rgb="FF800080"/>
      <rgbColor rgb="FF800000"/>
      <rgbColor rgb="FF008080"/>
      <rgbColor rgb="FF0000FF"/>
      <rgbColor rgb="FF00CCFF"/>
      <rgbColor rgb="FFEDF2F9"/>
      <rgbColor rgb="FFE2EFDA"/>
      <rgbColor rgb="FFFCE4D6"/>
      <rgbColor rgb="FFB4C6D9"/>
      <rgbColor rgb="FFD0D0D0"/>
      <rgbColor rgb="FFB3B3B3"/>
      <rgbColor rgb="FFFAC090"/>
      <rgbColor rgb="FF4472C4"/>
      <rgbColor rgb="FF33CCCC"/>
      <rgbColor rgb="FFD6E4F0"/>
      <rgbColor rgb="FFD9D9D9"/>
      <rgbColor rgb="FFFF9900"/>
      <rgbColor rgb="FFCC6600"/>
      <rgbColor rgb="FF666666"/>
      <rgbColor rgb="FF999999"/>
      <rgbColor rgb="FF1F3864"/>
      <rgbColor rgb="FF2E7D32"/>
      <rgbColor rgb="FF003300"/>
      <rgbColor rgb="FF555555"/>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lang="fr-FR" sz="1800" b="1" strike="noStrike" spc="-1">
                <a:solidFill>
                  <a:srgbClr val="000000"/>
                </a:solidFill>
                <a:latin typeface="Calibri"/>
              </a:defRPr>
            </a:pPr>
            <a:r>
              <a:rPr lang="fr-FR" sz="1800" b="1" strike="noStrike" spc="-1">
                <a:solidFill>
                  <a:srgbClr val="000000"/>
                </a:solidFill>
                <a:latin typeface="Calibri"/>
              </a:rPr>
              <a:t>Radar des compétences — Moyenne équipe vs. Cible</a:t>
            </a:r>
          </a:p>
        </c:rich>
      </c:tx>
      <c:overlay val="0"/>
      <c:spPr>
        <a:noFill/>
        <a:ln w="0">
          <a:noFill/>
        </a:ln>
      </c:spPr>
    </c:title>
    <c:autoTitleDeleted val="0"/>
    <c:plotArea>
      <c:layout/>
      <c:radarChart>
        <c:radarStyle val="marker"/>
        <c:varyColors val="0"/>
        <c:ser>
          <c:idx val="0"/>
          <c:order val="0"/>
          <c:tx>
            <c:strRef>
              <c:f>DIAGNOSTIC!$J$25</c:f>
              <c:strCache>
                <c:ptCount val="1"/>
                <c:pt idx="0">
                  <c:v>Moy. équipe</c:v>
                </c:pt>
              </c:strCache>
            </c:strRef>
          </c:tx>
          <c:spPr>
            <a:ln w="24840">
              <a:solidFill>
                <a:srgbClr val="2E75B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DIAGNOSTIC!$B$27:$B$42</c:f>
              <c:strCache>
                <c:ptCount val="16"/>
                <c:pt idx="0">
                  <c:v>Comptabilité générale</c:v>
                </c:pt>
                <c:pt idx="1">
                  <c:v>TVA &amp; Fiscalité</c:v>
                </c:pt>
                <c:pt idx="2">
                  <c:v>Paie &amp; Social</c:v>
                </c:pt>
                <c:pt idx="3">
                  <c:v>Comptes annuels</c:v>
                </c:pt>
                <c:pt idx="4">
                  <c:v>Révision</c:v>
                </c:pt>
                <c:pt idx="5">
                  <c:v>Facture électronique (PA)</c:v>
                </c:pt>
                <c:pt idx="6">
                  <c:v>RGPD &amp; Protection données</c:v>
                </c:pt>
                <c:pt idx="7">
                  <c:v>Cybersécurité</c:v>
                </c:pt>
                <c:pt idx="8">
                  <c:v>LCB-FT / Tracfin</c:v>
                </c:pt>
                <c:pt idx="9">
                  <c:v>Outils SaaS / Cloud</c:v>
                </c:pt>
                <c:pt idx="10">
                  <c:v>IA &amp; Automatisation</c:v>
                </c:pt>
                <c:pt idx="11">
                  <c:v>Relation client digitale</c:v>
                </c:pt>
                <c:pt idx="12">
                  <c:v>GED &amp; Archivage probant</c:v>
                </c:pt>
                <c:pt idx="13">
                  <c:v>Déontologie</c:v>
                </c:pt>
                <c:pt idx="14">
                  <c:v>Signature électronique</c:v>
                </c:pt>
                <c:pt idx="15">
                  <c:v>Communication digitale</c:v>
                </c:pt>
              </c:strCache>
            </c:strRef>
          </c:cat>
          <c:val>
            <c:numRef>
              <c:f>DIAGNOSTIC!$J$26:$J$42</c:f>
              <c:numCache>
                <c:formatCode>0.0</c:formatCode>
                <c:ptCount val="17"/>
                <c:pt idx="1">
                  <c:v>2.75</c:v>
                </c:pt>
                <c:pt idx="2">
                  <c:v>2.75</c:v>
                </c:pt>
                <c:pt idx="3">
                  <c:v>2.5</c:v>
                </c:pt>
                <c:pt idx="4">
                  <c:v>2.75</c:v>
                </c:pt>
                <c:pt idx="5">
                  <c:v>2.75</c:v>
                </c:pt>
                <c:pt idx="6">
                  <c:v>2.25</c:v>
                </c:pt>
                <c:pt idx="7">
                  <c:v>2.25</c:v>
                </c:pt>
                <c:pt idx="8">
                  <c:v>2.25</c:v>
                </c:pt>
                <c:pt idx="9">
                  <c:v>2.5</c:v>
                </c:pt>
                <c:pt idx="10">
                  <c:v>2.75</c:v>
                </c:pt>
                <c:pt idx="11">
                  <c:v>2</c:v>
                </c:pt>
                <c:pt idx="12">
                  <c:v>2.75</c:v>
                </c:pt>
                <c:pt idx="13">
                  <c:v>2.25</c:v>
                </c:pt>
                <c:pt idx="14">
                  <c:v>3.25</c:v>
                </c:pt>
                <c:pt idx="15">
                  <c:v>1.75</c:v>
                </c:pt>
                <c:pt idx="16">
                  <c:v>2.25</c:v>
                </c:pt>
              </c:numCache>
            </c:numRef>
          </c:val>
          <c:extLst>
            <c:ext xmlns:c16="http://schemas.microsoft.com/office/drawing/2014/chart" uri="{C3380CC4-5D6E-409C-BE32-E72D297353CC}">
              <c16:uniqueId val="{00000000-6D6F-4604-BE21-0926288AA1EB}"/>
            </c:ext>
          </c:extLst>
        </c:ser>
        <c:ser>
          <c:idx val="1"/>
          <c:order val="1"/>
          <c:tx>
            <c:strRef>
              <c:f>DIAGNOSTIC!$K$25</c:f>
              <c:strCache>
                <c:ptCount val="1"/>
                <c:pt idx="0">
                  <c:v>Cible</c:v>
                </c:pt>
              </c:strCache>
            </c:strRef>
          </c:tx>
          <c:spPr>
            <a:ln w="20160">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DIAGNOSTIC!$B$27:$B$42</c:f>
              <c:strCache>
                <c:ptCount val="16"/>
                <c:pt idx="0">
                  <c:v>Comptabilité générale</c:v>
                </c:pt>
                <c:pt idx="1">
                  <c:v>TVA &amp; Fiscalité</c:v>
                </c:pt>
                <c:pt idx="2">
                  <c:v>Paie &amp; Social</c:v>
                </c:pt>
                <c:pt idx="3">
                  <c:v>Comptes annuels</c:v>
                </c:pt>
                <c:pt idx="4">
                  <c:v>Révision</c:v>
                </c:pt>
                <c:pt idx="5">
                  <c:v>Facture électronique (PA)</c:v>
                </c:pt>
                <c:pt idx="6">
                  <c:v>RGPD &amp; Protection données</c:v>
                </c:pt>
                <c:pt idx="7">
                  <c:v>Cybersécurité</c:v>
                </c:pt>
                <c:pt idx="8">
                  <c:v>LCB-FT / Tracfin</c:v>
                </c:pt>
                <c:pt idx="9">
                  <c:v>Outils SaaS / Cloud</c:v>
                </c:pt>
                <c:pt idx="10">
                  <c:v>IA &amp; Automatisation</c:v>
                </c:pt>
                <c:pt idx="11">
                  <c:v>Relation client digitale</c:v>
                </c:pt>
                <c:pt idx="12">
                  <c:v>GED &amp; Archivage probant</c:v>
                </c:pt>
                <c:pt idx="13">
                  <c:v>Déontologie</c:v>
                </c:pt>
                <c:pt idx="14">
                  <c:v>Signature électronique</c:v>
                </c:pt>
                <c:pt idx="15">
                  <c:v>Communication digitale</c:v>
                </c:pt>
              </c:strCache>
            </c:strRef>
          </c:cat>
          <c:val>
            <c:numRef>
              <c:f>DIAGNOSTIC!$K$26:$K$42</c:f>
              <c:numCache>
                <c:formatCode>General</c:formatCode>
                <c:ptCount val="17"/>
                <c:pt idx="1">
                  <c:v>4</c:v>
                </c:pt>
                <c:pt idx="2">
                  <c:v>4</c:v>
                </c:pt>
                <c:pt idx="3">
                  <c:v>3</c:v>
                </c:pt>
                <c:pt idx="4">
                  <c:v>4</c:v>
                </c:pt>
                <c:pt idx="5">
                  <c:v>3</c:v>
                </c:pt>
                <c:pt idx="6">
                  <c:v>4</c:v>
                </c:pt>
                <c:pt idx="7">
                  <c:v>4</c:v>
                </c:pt>
                <c:pt idx="8">
                  <c:v>4</c:v>
                </c:pt>
                <c:pt idx="9">
                  <c:v>4</c:v>
                </c:pt>
                <c:pt idx="10">
                  <c:v>3</c:v>
                </c:pt>
                <c:pt idx="11">
                  <c:v>4</c:v>
                </c:pt>
                <c:pt idx="12">
                  <c:v>3</c:v>
                </c:pt>
                <c:pt idx="13">
                  <c:v>3</c:v>
                </c:pt>
                <c:pt idx="14">
                  <c:v>4</c:v>
                </c:pt>
                <c:pt idx="15">
                  <c:v>3</c:v>
                </c:pt>
                <c:pt idx="16">
                  <c:v>3</c:v>
                </c:pt>
              </c:numCache>
            </c:numRef>
          </c:val>
          <c:extLst>
            <c:ext xmlns:c16="http://schemas.microsoft.com/office/drawing/2014/chart" uri="{C3380CC4-5D6E-409C-BE32-E72D297353CC}">
              <c16:uniqueId val="{00000001-6D6F-4604-BE21-0926288AA1EB}"/>
            </c:ext>
          </c:extLst>
        </c:ser>
        <c:dLbls>
          <c:showLegendKey val="0"/>
          <c:showVal val="0"/>
          <c:showCatName val="0"/>
          <c:showSerName val="0"/>
          <c:showPercent val="0"/>
          <c:showBubbleSize val="0"/>
        </c:dLbls>
        <c:axId val="12114600"/>
        <c:axId val="65489957"/>
      </c:radarChart>
      <c:catAx>
        <c:axId val="12114600"/>
        <c:scaling>
          <c:orientation val="maxMin"/>
        </c:scaling>
        <c:delete val="0"/>
        <c:axPos val="b"/>
        <c:numFmt formatCode="General"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fr-FR"/>
          </a:p>
        </c:txPr>
        <c:crossAx val="65489957"/>
        <c:crosses val="autoZero"/>
        <c:auto val="1"/>
        <c:lblAlgn val="ctr"/>
        <c:lblOffset val="100"/>
        <c:noMultiLvlLbl val="0"/>
      </c:catAx>
      <c:valAx>
        <c:axId val="65489957"/>
        <c:scaling>
          <c:orientation val="minMax"/>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fr-FR"/>
          </a:p>
        </c:txPr>
        <c:crossAx val="12114600"/>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7469</xdr:colOff>
      <xdr:row>72</xdr:row>
      <xdr:rowOff>136240</xdr:rowOff>
    </xdr:from>
    <xdr:to>
      <xdr:col>5</xdr:col>
      <xdr:colOff>571501</xdr:colOff>
      <xdr:row>102</xdr:row>
      <xdr:rowOff>11207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showGridLines="0" tabSelected="1" zoomScaleNormal="100" workbookViewId="0">
      <selection activeCell="B51" sqref="B51:E52"/>
    </sheetView>
  </sheetViews>
  <sheetFormatPr baseColWidth="10" defaultColWidth="8.6640625" defaultRowHeight="14.4" x14ac:dyDescent="0.3"/>
  <cols>
    <col min="1" max="1" width="2" customWidth="1"/>
    <col min="2" max="2" width="31.5546875" customWidth="1"/>
    <col min="3" max="3" width="5" customWidth="1"/>
    <col min="4" max="4" width="22" customWidth="1"/>
    <col min="5" max="5" width="5" customWidth="1"/>
    <col min="6" max="6" width="22" customWidth="1"/>
    <col min="7" max="7" width="5" customWidth="1"/>
    <col min="8" max="8" width="22" customWidth="1"/>
    <col min="9" max="9" width="5" customWidth="1"/>
    <col min="10" max="10" width="22" customWidth="1"/>
    <col min="11" max="11" width="2" customWidth="1"/>
  </cols>
  <sheetData>
    <row r="1" spans="1:10" ht="34.5" customHeight="1" x14ac:dyDescent="0.3">
      <c r="A1" s="2"/>
      <c r="B1" s="175" t="s">
        <v>0</v>
      </c>
      <c r="C1" s="175"/>
      <c r="D1" s="175"/>
      <c r="E1" s="175"/>
      <c r="F1" s="175"/>
      <c r="G1" s="175"/>
      <c r="H1" s="175"/>
      <c r="I1" s="175"/>
      <c r="J1" s="175"/>
    </row>
    <row r="2" spans="1:10" ht="15" customHeight="1" x14ac:dyDescent="0.3">
      <c r="A2" s="2"/>
      <c r="B2" s="176" t="s">
        <v>1</v>
      </c>
      <c r="C2" s="176"/>
      <c r="D2" s="176"/>
      <c r="E2" s="176"/>
      <c r="F2" s="176"/>
      <c r="G2" s="176"/>
      <c r="H2" s="176"/>
      <c r="I2" s="176"/>
      <c r="J2" s="176"/>
    </row>
    <row r="3" spans="1:10" ht="15" customHeight="1" x14ac:dyDescent="0.3">
      <c r="A3" s="2"/>
      <c r="B3" s="3"/>
      <c r="C3" s="2"/>
      <c r="D3" s="2"/>
      <c r="E3" s="2"/>
      <c r="F3" s="2"/>
      <c r="G3" s="2"/>
      <c r="H3" s="2"/>
      <c r="I3" s="2"/>
      <c r="J3" s="1"/>
    </row>
    <row r="4" spans="1:10" ht="15" customHeight="1" x14ac:dyDescent="0.3">
      <c r="A4" s="2"/>
      <c r="B4" s="170" t="s">
        <v>2</v>
      </c>
      <c r="C4" s="170"/>
      <c r="D4" s="170"/>
      <c r="E4" s="170"/>
      <c r="F4" s="170"/>
      <c r="G4" s="170"/>
      <c r="H4" s="170"/>
      <c r="I4" s="170"/>
      <c r="J4" s="170"/>
    </row>
    <row r="5" spans="1:10" ht="15" customHeight="1" x14ac:dyDescent="0.3">
      <c r="A5" s="2"/>
      <c r="B5" s="177" t="s">
        <v>3</v>
      </c>
      <c r="C5" s="177"/>
      <c r="D5" s="177"/>
      <c r="E5" s="177"/>
      <c r="F5" s="177"/>
      <c r="G5" s="177"/>
      <c r="H5" s="177"/>
      <c r="I5" s="177"/>
      <c r="J5" s="177"/>
    </row>
    <row r="6" spans="1:10" ht="15" customHeight="1" x14ac:dyDescent="0.3">
      <c r="A6" s="2"/>
      <c r="B6" s="177"/>
      <c r="C6" s="177"/>
      <c r="D6" s="177"/>
      <c r="E6" s="177"/>
      <c r="F6" s="177"/>
      <c r="G6" s="177"/>
      <c r="H6" s="177"/>
      <c r="I6" s="177"/>
      <c r="J6" s="177"/>
    </row>
    <row r="7" spans="1:10" ht="15" customHeight="1" x14ac:dyDescent="0.3">
      <c r="A7" s="2"/>
      <c r="B7" s="177"/>
      <c r="C7" s="177"/>
      <c r="D7" s="177"/>
      <c r="E7" s="177"/>
      <c r="F7" s="177"/>
      <c r="G7" s="177"/>
      <c r="H7" s="177"/>
      <c r="I7" s="177"/>
      <c r="J7" s="177"/>
    </row>
    <row r="8" spans="1:10" ht="15" customHeight="1" x14ac:dyDescent="0.3">
      <c r="A8" s="2"/>
      <c r="B8" s="3"/>
      <c r="C8" s="2"/>
      <c r="D8" s="2"/>
      <c r="E8" s="2"/>
      <c r="F8" s="2"/>
      <c r="G8" s="2"/>
      <c r="H8" s="2"/>
      <c r="I8" s="2"/>
      <c r="J8" s="1"/>
    </row>
    <row r="9" spans="1:10" ht="24.75" customHeight="1" x14ac:dyDescent="0.3">
      <c r="A9" s="2"/>
      <c r="B9" s="170" t="s">
        <v>4</v>
      </c>
      <c r="C9" s="170"/>
      <c r="D9" s="170"/>
      <c r="E9" s="170"/>
      <c r="F9" s="170"/>
      <c r="G9" s="170"/>
      <c r="H9" s="170"/>
      <c r="I9" s="170"/>
      <c r="J9" s="170"/>
    </row>
    <row r="10" spans="1:10" ht="15" customHeight="1" x14ac:dyDescent="0.3">
      <c r="A10" s="2"/>
      <c r="B10" s="3"/>
      <c r="C10" s="2"/>
      <c r="D10" s="2"/>
      <c r="E10" s="2"/>
      <c r="F10" s="2"/>
      <c r="G10" s="2"/>
      <c r="H10" s="2"/>
      <c r="I10" s="2"/>
      <c r="J10" s="1"/>
    </row>
    <row r="11" spans="1:10" ht="15" customHeight="1" x14ac:dyDescent="0.3">
      <c r="A11" s="2"/>
      <c r="B11" s="4" t="s">
        <v>5</v>
      </c>
      <c r="C11" s="2"/>
      <c r="D11" s="5" t="s">
        <v>6</v>
      </c>
      <c r="E11" s="2"/>
      <c r="F11" s="5" t="s">
        <v>7</v>
      </c>
      <c r="G11" s="2"/>
      <c r="H11" s="6" t="s">
        <v>8</v>
      </c>
      <c r="I11" s="2"/>
      <c r="J11" s="5" t="s">
        <v>9</v>
      </c>
    </row>
    <row r="12" spans="1:10" ht="15" customHeight="1" x14ac:dyDescent="0.3">
      <c r="A12" s="2"/>
      <c r="B12" s="171" t="s">
        <v>10</v>
      </c>
      <c r="C12" s="2"/>
      <c r="D12" s="172" t="s">
        <v>11</v>
      </c>
      <c r="E12" s="2"/>
      <c r="F12" s="172" t="s">
        <v>12</v>
      </c>
      <c r="G12" s="2"/>
      <c r="H12" s="173" t="s">
        <v>13</v>
      </c>
      <c r="I12" s="2"/>
      <c r="J12" s="172" t="s">
        <v>14</v>
      </c>
    </row>
    <row r="13" spans="1:10" ht="15" customHeight="1" x14ac:dyDescent="0.3">
      <c r="A13" s="2"/>
      <c r="B13" s="171"/>
      <c r="C13" s="2"/>
      <c r="D13" s="172"/>
      <c r="E13" s="2"/>
      <c r="F13" s="172"/>
      <c r="G13" s="2"/>
      <c r="H13" s="173"/>
      <c r="I13" s="2"/>
      <c r="J13" s="172"/>
    </row>
    <row r="14" spans="1:10" ht="15" customHeight="1" x14ac:dyDescent="0.3">
      <c r="A14" s="2"/>
      <c r="B14" s="171"/>
      <c r="C14" s="174" t="s">
        <v>15</v>
      </c>
      <c r="D14" s="172"/>
      <c r="E14" s="174" t="s">
        <v>15</v>
      </c>
      <c r="F14" s="172"/>
      <c r="G14" s="174" t="s">
        <v>15</v>
      </c>
      <c r="H14" s="173"/>
      <c r="I14" s="174" t="s">
        <v>15</v>
      </c>
      <c r="J14" s="172"/>
    </row>
    <row r="15" spans="1:10" ht="15" customHeight="1" x14ac:dyDescent="0.3">
      <c r="A15" s="2"/>
      <c r="B15" s="171"/>
      <c r="C15" s="174"/>
      <c r="D15" s="172"/>
      <c r="E15" s="174"/>
      <c r="F15" s="172"/>
      <c r="G15" s="174"/>
      <c r="H15" s="173"/>
      <c r="I15" s="174"/>
      <c r="J15" s="172"/>
    </row>
    <row r="16" spans="1:10" ht="15" customHeight="1" x14ac:dyDescent="0.3">
      <c r="A16" s="2"/>
      <c r="B16" s="171"/>
      <c r="C16" s="174"/>
      <c r="D16" s="172"/>
      <c r="E16" s="174"/>
      <c r="F16" s="172"/>
      <c r="G16" s="174"/>
      <c r="H16" s="173"/>
      <c r="I16" s="174"/>
      <c r="J16" s="172"/>
    </row>
    <row r="17" spans="1:10" ht="15" customHeight="1" x14ac:dyDescent="0.3">
      <c r="A17" s="2"/>
      <c r="B17" s="171"/>
      <c r="C17" s="2"/>
      <c r="D17" s="172"/>
      <c r="E17" s="2"/>
      <c r="F17" s="172"/>
      <c r="G17" s="2"/>
      <c r="H17" s="173"/>
      <c r="I17" s="2"/>
      <c r="J17" s="172"/>
    </row>
    <row r="18" spans="1:10" ht="15" customHeight="1" x14ac:dyDescent="0.3">
      <c r="A18" s="2"/>
      <c r="B18" s="171"/>
      <c r="C18" s="2"/>
      <c r="D18" s="172"/>
      <c r="E18" s="2"/>
      <c r="F18" s="172"/>
      <c r="G18" s="2"/>
      <c r="H18" s="173"/>
      <c r="I18" s="2"/>
      <c r="J18" s="172"/>
    </row>
    <row r="19" spans="1:10" ht="15" customHeight="1" x14ac:dyDescent="0.3">
      <c r="A19" s="2"/>
      <c r="B19" s="171"/>
      <c r="C19" s="2"/>
      <c r="D19" s="172"/>
      <c r="E19" s="2"/>
      <c r="F19" s="172"/>
      <c r="G19" s="2"/>
      <c r="H19" s="173"/>
      <c r="I19" s="2"/>
      <c r="J19" s="172"/>
    </row>
    <row r="20" spans="1:10" ht="15" customHeight="1" x14ac:dyDescent="0.3">
      <c r="A20" s="2"/>
      <c r="B20" s="171"/>
      <c r="C20" s="2"/>
      <c r="D20" s="172"/>
      <c r="E20" s="2"/>
      <c r="F20" s="172"/>
      <c r="G20" s="2"/>
      <c r="H20" s="173"/>
      <c r="I20" s="2"/>
      <c r="J20" s="172"/>
    </row>
    <row r="21" spans="1:10" ht="15" customHeight="1" x14ac:dyDescent="0.3">
      <c r="A21" s="2"/>
      <c r="B21" s="3"/>
      <c r="C21" s="2"/>
      <c r="D21" s="2"/>
      <c r="E21" s="2"/>
      <c r="F21" s="2"/>
      <c r="G21" s="2"/>
      <c r="H21" s="2"/>
      <c r="I21" s="2"/>
      <c r="J21" s="1"/>
    </row>
    <row r="22" spans="1:10" ht="15" customHeight="1" x14ac:dyDescent="0.3">
      <c r="A22" s="2"/>
      <c r="B22" s="170" t="s">
        <v>16</v>
      </c>
      <c r="C22" s="170"/>
      <c r="D22" s="170"/>
      <c r="E22" s="170"/>
      <c r="F22" s="170"/>
      <c r="G22" s="170"/>
      <c r="H22" s="170"/>
      <c r="I22" s="170"/>
      <c r="J22" s="170"/>
    </row>
    <row r="23" spans="1:10" ht="15" customHeight="1" x14ac:dyDescent="0.3">
      <c r="A23" s="2"/>
      <c r="B23" s="3"/>
      <c r="C23" s="2"/>
      <c r="D23" s="2"/>
      <c r="E23" s="2"/>
      <c r="F23" s="2"/>
      <c r="G23" s="2"/>
      <c r="H23" s="2"/>
      <c r="I23" s="2"/>
      <c r="J23" s="1"/>
    </row>
    <row r="24" spans="1:10" ht="27.75" customHeight="1" x14ac:dyDescent="0.3">
      <c r="A24" s="2"/>
      <c r="B24" s="7" t="s">
        <v>17</v>
      </c>
      <c r="C24" s="2"/>
      <c r="D24" s="8" t="s">
        <v>18</v>
      </c>
      <c r="E24" s="2"/>
      <c r="F24" s="167" t="s">
        <v>19</v>
      </c>
      <c r="G24" s="167"/>
      <c r="H24" s="167"/>
      <c r="I24" s="167"/>
      <c r="J24" s="167"/>
    </row>
    <row r="25" spans="1:10" ht="15" customHeight="1" x14ac:dyDescent="0.3">
      <c r="A25" s="2"/>
      <c r="B25" s="3"/>
      <c r="C25" s="2"/>
      <c r="D25" s="2"/>
      <c r="E25" s="2"/>
      <c r="F25" s="2"/>
      <c r="G25" s="2"/>
      <c r="H25" s="2"/>
      <c r="I25" s="2"/>
      <c r="J25" s="1"/>
    </row>
    <row r="26" spans="1:10" ht="27.75" customHeight="1" x14ac:dyDescent="0.3">
      <c r="A26" s="2"/>
      <c r="B26" s="7" t="s">
        <v>20</v>
      </c>
      <c r="C26" s="2"/>
      <c r="D26" s="8" t="s">
        <v>21</v>
      </c>
      <c r="E26" s="2"/>
      <c r="F26" s="167" t="s">
        <v>22</v>
      </c>
      <c r="G26" s="167"/>
      <c r="H26" s="167"/>
      <c r="I26" s="167"/>
      <c r="J26" s="167"/>
    </row>
    <row r="27" spans="1:10" ht="15" customHeight="1" x14ac:dyDescent="0.3">
      <c r="A27" s="2"/>
      <c r="B27" s="3"/>
      <c r="C27" s="2"/>
      <c r="D27" s="2"/>
      <c r="E27" s="2"/>
      <c r="F27" s="2"/>
      <c r="G27" s="2"/>
      <c r="H27" s="2"/>
      <c r="I27" s="2"/>
      <c r="J27" s="1"/>
    </row>
    <row r="28" spans="1:10" ht="27.75" customHeight="1" x14ac:dyDescent="0.3">
      <c r="A28" s="2"/>
      <c r="B28" s="7" t="s">
        <v>23</v>
      </c>
      <c r="C28" s="2"/>
      <c r="D28" s="8" t="s">
        <v>24</v>
      </c>
      <c r="E28" s="2"/>
      <c r="F28" s="167" t="s">
        <v>25</v>
      </c>
      <c r="G28" s="167"/>
      <c r="H28" s="167"/>
      <c r="I28" s="167"/>
      <c r="J28" s="167"/>
    </row>
    <row r="29" spans="1:10" ht="15" customHeight="1" x14ac:dyDescent="0.3">
      <c r="A29" s="2"/>
      <c r="B29" s="3"/>
      <c r="C29" s="2"/>
      <c r="D29" s="2"/>
      <c r="E29" s="2"/>
      <c r="F29" s="2"/>
      <c r="G29" s="2"/>
      <c r="H29" s="2"/>
      <c r="I29" s="2"/>
      <c r="J29" s="1"/>
    </row>
    <row r="30" spans="1:10" ht="27.75" customHeight="1" x14ac:dyDescent="0.3">
      <c r="A30" s="2"/>
      <c r="B30" s="7" t="s">
        <v>26</v>
      </c>
      <c r="C30" s="2"/>
      <c r="D30" s="8" t="s">
        <v>27</v>
      </c>
      <c r="E30" s="2"/>
      <c r="F30" s="167" t="s">
        <v>28</v>
      </c>
      <c r="G30" s="167"/>
      <c r="H30" s="167"/>
      <c r="I30" s="167"/>
      <c r="J30" s="167"/>
    </row>
    <row r="31" spans="1:10" ht="15" customHeight="1" x14ac:dyDescent="0.3">
      <c r="A31" s="2"/>
      <c r="B31" s="3"/>
      <c r="C31" s="2"/>
      <c r="D31" s="2"/>
      <c r="E31" s="2"/>
      <c r="F31" s="2"/>
      <c r="G31" s="2"/>
      <c r="H31" s="2"/>
      <c r="I31" s="2"/>
      <c r="J31" s="1"/>
    </row>
    <row r="32" spans="1:10" ht="27.75" customHeight="1" x14ac:dyDescent="0.3">
      <c r="A32" s="2"/>
      <c r="B32" s="7" t="s">
        <v>29</v>
      </c>
      <c r="C32" s="2"/>
      <c r="D32" s="8" t="s">
        <v>30</v>
      </c>
      <c r="E32" s="2"/>
      <c r="F32" s="167" t="s">
        <v>31</v>
      </c>
      <c r="G32" s="167"/>
      <c r="H32" s="167"/>
      <c r="I32" s="167"/>
      <c r="J32" s="167"/>
    </row>
    <row r="33" spans="1:10" ht="15" customHeight="1" x14ac:dyDescent="0.3">
      <c r="A33" s="2"/>
      <c r="B33" s="3"/>
      <c r="C33" s="2"/>
      <c r="D33" s="2"/>
      <c r="E33" s="2"/>
      <c r="F33" s="2"/>
      <c r="G33" s="2"/>
      <c r="H33" s="2"/>
      <c r="I33" s="2"/>
      <c r="J33" s="1"/>
    </row>
    <row r="34" spans="1:10" ht="27.75" customHeight="1" x14ac:dyDescent="0.3">
      <c r="A34" s="2"/>
      <c r="B34" s="7" t="s">
        <v>32</v>
      </c>
      <c r="C34" s="2"/>
      <c r="D34" s="8" t="s">
        <v>33</v>
      </c>
      <c r="E34" s="2"/>
      <c r="F34" s="167" t="s">
        <v>34</v>
      </c>
      <c r="G34" s="167"/>
      <c r="H34" s="167"/>
      <c r="I34" s="167"/>
      <c r="J34" s="167"/>
    </row>
    <row r="35" spans="1:10" ht="15" customHeight="1" x14ac:dyDescent="0.3">
      <c r="A35" s="2"/>
      <c r="B35" s="3"/>
      <c r="C35" s="2"/>
      <c r="D35" s="2"/>
      <c r="E35" s="2"/>
      <c r="F35" s="2"/>
      <c r="G35" s="2"/>
      <c r="H35" s="2"/>
      <c r="I35" s="2"/>
      <c r="J35" s="1"/>
    </row>
    <row r="36" spans="1:10" ht="27.75" customHeight="1" x14ac:dyDescent="0.3">
      <c r="A36" s="2"/>
      <c r="B36" s="7" t="s">
        <v>35</v>
      </c>
      <c r="C36" s="2"/>
      <c r="D36" s="8" t="s">
        <v>36</v>
      </c>
      <c r="E36" s="2"/>
      <c r="F36" s="167" t="s">
        <v>37</v>
      </c>
      <c r="G36" s="167"/>
      <c r="H36" s="167"/>
      <c r="I36" s="167"/>
      <c r="J36" s="167"/>
    </row>
    <row r="37" spans="1:10" ht="15" customHeight="1" x14ac:dyDescent="0.3">
      <c r="A37" s="2"/>
      <c r="B37" s="3"/>
      <c r="C37" s="2"/>
      <c r="D37" s="2"/>
      <c r="E37" s="2"/>
      <c r="F37" s="2"/>
      <c r="G37" s="2"/>
      <c r="H37" s="2"/>
      <c r="I37" s="2"/>
      <c r="J37" s="1"/>
    </row>
    <row r="38" spans="1:10" ht="15" customHeight="1" x14ac:dyDescent="0.3">
      <c r="A38" s="2"/>
      <c r="B38" s="168" t="s">
        <v>38</v>
      </c>
      <c r="C38" s="168"/>
      <c r="D38" s="168"/>
      <c r="E38" s="168"/>
      <c r="F38" s="168"/>
      <c r="G38" s="168"/>
      <c r="H38" s="168"/>
      <c r="I38" s="168"/>
      <c r="J38" s="168"/>
    </row>
    <row r="39" spans="1:10" ht="15" customHeight="1" x14ac:dyDescent="0.3">
      <c r="A39" s="2"/>
      <c r="B39" s="168"/>
      <c r="C39" s="168"/>
      <c r="D39" s="168"/>
      <c r="E39" s="168"/>
      <c r="F39" s="168"/>
      <c r="G39" s="168"/>
      <c r="H39" s="168"/>
      <c r="I39" s="168"/>
      <c r="J39" s="168"/>
    </row>
    <row r="40" spans="1:10" ht="15" customHeight="1" x14ac:dyDescent="0.3">
      <c r="A40" s="2"/>
      <c r="B40" s="169"/>
      <c r="C40" s="169"/>
      <c r="D40" s="169"/>
      <c r="E40" s="169"/>
      <c r="F40" s="169"/>
      <c r="G40" s="169"/>
      <c r="H40" s="169"/>
      <c r="I40" s="169"/>
      <c r="J40" s="169"/>
    </row>
    <row r="41" spans="1:10" ht="21.75" customHeight="1" x14ac:dyDescent="0.3">
      <c r="A41" s="2"/>
      <c r="B41" s="3"/>
      <c r="C41" s="2"/>
      <c r="D41" s="156"/>
      <c r="E41" s="156"/>
      <c r="F41" s="156"/>
      <c r="G41" s="2"/>
      <c r="H41" s="166"/>
      <c r="I41" s="166"/>
      <c r="J41" s="166"/>
    </row>
    <row r="42" spans="1:10" ht="21.75" customHeight="1" x14ac:dyDescent="0.3">
      <c r="A42" s="2"/>
      <c r="B42" s="9" t="s">
        <v>39</v>
      </c>
      <c r="C42" s="2"/>
      <c r="D42" s="156"/>
      <c r="E42" s="156"/>
      <c r="F42" s="156"/>
      <c r="G42" s="2"/>
      <c r="H42" s="166"/>
      <c r="I42" s="166"/>
      <c r="J42" s="166"/>
    </row>
    <row r="43" spans="1:10" ht="21.75" customHeight="1" x14ac:dyDescent="0.3">
      <c r="A43" s="2"/>
      <c r="B43" s="10" t="s">
        <v>40</v>
      </c>
      <c r="C43" s="2"/>
      <c r="D43" s="158" t="s">
        <v>41</v>
      </c>
      <c r="E43" s="158"/>
      <c r="F43" s="158"/>
      <c r="G43" s="2"/>
      <c r="H43" s="159" t="s">
        <v>42</v>
      </c>
      <c r="I43" s="159"/>
      <c r="J43" s="159"/>
    </row>
    <row r="44" spans="1:10" ht="21.75" customHeight="1" x14ac:dyDescent="0.3">
      <c r="A44" s="2"/>
      <c r="B44" s="11" t="s">
        <v>43</v>
      </c>
      <c r="C44" s="2"/>
      <c r="D44" s="164" t="s">
        <v>44</v>
      </c>
      <c r="E44" s="164"/>
      <c r="F44" s="164"/>
      <c r="G44" s="2"/>
      <c r="H44" s="165" t="s">
        <v>45</v>
      </c>
      <c r="I44" s="165"/>
      <c r="J44" s="165"/>
    </row>
    <row r="45" spans="1:10" ht="21.75" customHeight="1" x14ac:dyDescent="0.3">
      <c r="A45" s="2"/>
      <c r="B45" s="10" t="s">
        <v>46</v>
      </c>
      <c r="C45" s="2"/>
      <c r="D45" s="158" t="s">
        <v>47</v>
      </c>
      <c r="E45" s="158"/>
      <c r="F45" s="158"/>
      <c r="G45" s="2"/>
      <c r="H45" s="159" t="s">
        <v>48</v>
      </c>
      <c r="I45" s="159"/>
      <c r="J45" s="159"/>
    </row>
    <row r="46" spans="1:10" ht="21.75" customHeight="1" x14ac:dyDescent="0.3">
      <c r="A46" s="2"/>
      <c r="B46" s="11" t="s">
        <v>49</v>
      </c>
      <c r="C46" s="2"/>
      <c r="D46" s="164" t="s">
        <v>50</v>
      </c>
      <c r="E46" s="164"/>
      <c r="F46" s="164"/>
      <c r="G46" s="2"/>
      <c r="H46" s="165" t="s">
        <v>51</v>
      </c>
      <c r="I46" s="165"/>
      <c r="J46" s="165"/>
    </row>
    <row r="47" spans="1:10" ht="21.75" customHeight="1" x14ac:dyDescent="0.3">
      <c r="A47" s="2"/>
      <c r="B47" s="10" t="s">
        <v>52</v>
      </c>
      <c r="C47" s="2"/>
      <c r="D47" s="158" t="s">
        <v>53</v>
      </c>
      <c r="E47" s="158"/>
      <c r="F47" s="158"/>
      <c r="G47" s="2"/>
      <c r="H47" s="159" t="s">
        <v>54</v>
      </c>
      <c r="I47" s="159"/>
      <c r="J47" s="159"/>
    </row>
    <row r="48" spans="1:10" ht="21.75" customHeight="1" x14ac:dyDescent="0.3">
      <c r="A48" s="2"/>
      <c r="B48" s="11" t="s">
        <v>55</v>
      </c>
      <c r="C48" s="2"/>
      <c r="D48" s="160" t="s">
        <v>56</v>
      </c>
      <c r="E48" s="160"/>
      <c r="F48" s="160"/>
      <c r="G48" s="2"/>
      <c r="H48" s="161" t="s">
        <v>57</v>
      </c>
      <c r="I48" s="161"/>
      <c r="J48" s="161"/>
    </row>
    <row r="49" spans="1:10" ht="21.75" customHeight="1" x14ac:dyDescent="0.3">
      <c r="A49" s="2"/>
      <c r="B49" s="12" t="s">
        <v>58</v>
      </c>
      <c r="C49" s="13"/>
      <c r="D49" s="162" t="s">
        <v>59</v>
      </c>
      <c r="E49" s="162"/>
      <c r="F49" s="162"/>
      <c r="G49" s="13"/>
      <c r="H49" s="163" t="s">
        <v>60</v>
      </c>
      <c r="I49" s="163"/>
      <c r="J49" s="163"/>
    </row>
    <row r="50" spans="1:10" ht="21.75" customHeight="1" x14ac:dyDescent="0.3">
      <c r="A50" s="2"/>
      <c r="B50" s="156"/>
      <c r="C50" s="156"/>
      <c r="D50" s="156"/>
      <c r="E50" s="156"/>
      <c r="F50" s="156"/>
      <c r="G50" s="156"/>
      <c r="H50" s="156"/>
      <c r="I50" s="156"/>
      <c r="J50" s="156"/>
    </row>
    <row r="51" spans="1:10" ht="21.75" customHeight="1" x14ac:dyDescent="0.3">
      <c r="A51" s="2"/>
      <c r="B51" s="157"/>
      <c r="C51" s="157"/>
      <c r="D51" s="157"/>
      <c r="E51" s="157"/>
      <c r="F51" s="156"/>
      <c r="G51" s="156"/>
      <c r="H51" s="156"/>
      <c r="I51" s="156"/>
      <c r="J51" s="156"/>
    </row>
    <row r="52" spans="1:10" ht="21.75" customHeight="1" x14ac:dyDescent="0.3">
      <c r="A52" s="2"/>
      <c r="B52" s="157"/>
      <c r="C52" s="157"/>
      <c r="D52" s="157"/>
      <c r="E52" s="157"/>
      <c r="F52" s="156"/>
      <c r="G52" s="156"/>
      <c r="H52" s="156"/>
      <c r="I52" s="156"/>
      <c r="J52" s="156"/>
    </row>
  </sheetData>
  <mergeCells count="45">
    <mergeCell ref="B1:J1"/>
    <mergeCell ref="B2:J2"/>
    <mergeCell ref="B4:J4"/>
    <mergeCell ref="B5:J7"/>
    <mergeCell ref="B9:J9"/>
    <mergeCell ref="B12:B20"/>
    <mergeCell ref="D12:D20"/>
    <mergeCell ref="F12:F20"/>
    <mergeCell ref="H12:H20"/>
    <mergeCell ref="J12:J20"/>
    <mergeCell ref="C14:C16"/>
    <mergeCell ref="E14:E16"/>
    <mergeCell ref="G14:G16"/>
    <mergeCell ref="I14:I16"/>
    <mergeCell ref="B22:J22"/>
    <mergeCell ref="F24:J24"/>
    <mergeCell ref="F26:J26"/>
    <mergeCell ref="F28:J28"/>
    <mergeCell ref="F30:J30"/>
    <mergeCell ref="F32:J32"/>
    <mergeCell ref="F34:J34"/>
    <mergeCell ref="F36:J36"/>
    <mergeCell ref="B38:J39"/>
    <mergeCell ref="B40:J40"/>
    <mergeCell ref="D41:F41"/>
    <mergeCell ref="H41:J41"/>
    <mergeCell ref="D42:F42"/>
    <mergeCell ref="H42:J42"/>
    <mergeCell ref="D43:F43"/>
    <mergeCell ref="H43:J43"/>
    <mergeCell ref="D44:F44"/>
    <mergeCell ref="H44:J44"/>
    <mergeCell ref="D45:F45"/>
    <mergeCell ref="H45:J45"/>
    <mergeCell ref="D46:F46"/>
    <mergeCell ref="H46:J46"/>
    <mergeCell ref="B50:J50"/>
    <mergeCell ref="B51:E52"/>
    <mergeCell ref="F51:J52"/>
    <mergeCell ref="D47:F47"/>
    <mergeCell ref="H47:J47"/>
    <mergeCell ref="D48:F48"/>
    <mergeCell ref="H48:J48"/>
    <mergeCell ref="D49:F49"/>
    <mergeCell ref="H49:J49"/>
  </mergeCells>
  <pageMargins left="0.5" right="0.5" top="0.5" bottom="0.5" header="0.5" footer="0.5"/>
  <pageSetup paperSize="9" orientation="landscape" horizontalDpi="300" verticalDpi="300"/>
  <headerFooter>
    <oddHeader>&amp;CANNEXE 22 — Guide d'utilisation</oddHeader>
    <oddFooter>&amp;CPage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AC090"/>
    <pageSetUpPr fitToPage="1"/>
  </sheetPr>
  <dimension ref="A1:L110"/>
  <sheetViews>
    <sheetView showGridLines="0" zoomScale="85" zoomScaleNormal="85" workbookViewId="0">
      <pane xSplit="1" ySplit="6" topLeftCell="B95" activePane="bottomRight" state="frozen"/>
      <selection pane="topRight" activeCell="B1" sqref="B1"/>
      <selection pane="bottomLeft" activeCell="A57" sqref="A57"/>
      <selection pane="bottomRight" activeCell="D122" sqref="D122"/>
    </sheetView>
  </sheetViews>
  <sheetFormatPr baseColWidth="10" defaultColWidth="8.6640625" defaultRowHeight="14.4" x14ac:dyDescent="0.3"/>
  <cols>
    <col min="1" max="1" width="3" customWidth="1"/>
    <col min="2" max="2" width="32" customWidth="1"/>
    <col min="3" max="3" width="18" customWidth="1"/>
    <col min="4" max="4" width="43.109375" customWidth="1"/>
    <col min="5" max="10" width="14" customWidth="1"/>
    <col min="11" max="11" width="76.33203125" customWidth="1"/>
  </cols>
  <sheetData>
    <row r="1" spans="1:12" ht="14.25" customHeight="1" x14ac:dyDescent="0.3">
      <c r="A1" s="2"/>
      <c r="B1" s="179" t="s">
        <v>61</v>
      </c>
      <c r="C1" s="179"/>
      <c r="D1" s="179"/>
      <c r="E1" s="179"/>
      <c r="F1" s="179"/>
      <c r="G1" s="179"/>
      <c r="H1" s="179"/>
      <c r="I1" s="179"/>
      <c r="J1" s="179"/>
      <c r="K1" s="179"/>
      <c r="L1" s="2"/>
    </row>
    <row r="2" spans="1:12" ht="17.25" customHeight="1" x14ac:dyDescent="0.3">
      <c r="A2" s="2"/>
      <c r="B2" s="180" t="s">
        <v>62</v>
      </c>
      <c r="C2" s="180"/>
      <c r="D2" s="180"/>
      <c r="E2" s="180"/>
      <c r="F2" s="180"/>
      <c r="G2" s="180"/>
      <c r="H2" s="180"/>
      <c r="I2" s="180"/>
      <c r="J2" s="180"/>
      <c r="K2" s="180"/>
      <c r="L2" s="2"/>
    </row>
    <row r="3" spans="1:12" ht="14.25" customHeight="1" x14ac:dyDescent="0.3">
      <c r="A3" s="2"/>
      <c r="B3" s="181" t="s">
        <v>63</v>
      </c>
      <c r="C3" s="181"/>
      <c r="D3" s="181"/>
      <c r="E3" s="181"/>
      <c r="F3" s="181"/>
      <c r="G3" s="181"/>
      <c r="H3" s="181"/>
      <c r="I3" s="181"/>
      <c r="J3" s="181"/>
      <c r="K3" s="181"/>
      <c r="L3" s="2"/>
    </row>
    <row r="4" spans="1:12" ht="14.25" customHeight="1" x14ac:dyDescent="0.3">
      <c r="A4" s="2"/>
      <c r="B4" s="182" t="s">
        <v>64</v>
      </c>
      <c r="C4" s="182"/>
      <c r="D4" s="182"/>
      <c r="E4" s="182"/>
      <c r="F4" s="182"/>
      <c r="G4" s="182"/>
      <c r="H4" s="182"/>
      <c r="I4" s="182"/>
      <c r="J4" s="182"/>
      <c r="K4" s="182"/>
      <c r="L4" s="2"/>
    </row>
    <row r="5" spans="1:12" x14ac:dyDescent="0.3">
      <c r="A5" s="2"/>
      <c r="B5" s="2"/>
      <c r="C5" s="2"/>
      <c r="D5" s="2"/>
      <c r="E5" s="2"/>
      <c r="F5" s="2"/>
      <c r="G5" s="2"/>
      <c r="H5" s="2"/>
      <c r="I5" s="2"/>
      <c r="J5" s="2"/>
      <c r="K5" s="2"/>
      <c r="L5" s="2"/>
    </row>
    <row r="6" spans="1:12" ht="15" customHeight="1" x14ac:dyDescent="0.3">
      <c r="A6" s="2"/>
      <c r="B6" s="14" t="s">
        <v>65</v>
      </c>
      <c r="C6" s="2"/>
      <c r="D6" s="2"/>
      <c r="E6" s="2"/>
      <c r="F6" s="2"/>
      <c r="G6" s="2"/>
      <c r="H6" s="2"/>
      <c r="I6" s="2"/>
      <c r="J6" s="2"/>
      <c r="K6" s="2"/>
      <c r="L6" s="2"/>
    </row>
    <row r="7" spans="1:12" x14ac:dyDescent="0.3">
      <c r="A7" s="2"/>
      <c r="B7" s="15" t="s">
        <v>66</v>
      </c>
      <c r="C7" s="15" t="s">
        <v>67</v>
      </c>
      <c r="D7" s="15"/>
      <c r="E7" s="15"/>
      <c r="F7" s="15"/>
      <c r="G7" s="15"/>
      <c r="H7" s="15"/>
      <c r="I7" s="15"/>
      <c r="J7" s="15"/>
      <c r="K7" s="15" t="s">
        <v>68</v>
      </c>
      <c r="L7" s="2"/>
    </row>
    <row r="8" spans="1:12" ht="14.25" customHeight="1" x14ac:dyDescent="0.3">
      <c r="A8" s="2"/>
      <c r="B8" s="16" t="s">
        <v>69</v>
      </c>
      <c r="C8" s="183" t="s">
        <v>70</v>
      </c>
      <c r="D8" s="183"/>
      <c r="E8" s="183"/>
      <c r="F8" s="183"/>
      <c r="G8" s="183"/>
      <c r="H8" s="183"/>
      <c r="I8" s="183"/>
      <c r="J8" s="183"/>
      <c r="K8" s="16" t="s">
        <v>71</v>
      </c>
      <c r="L8" s="2"/>
    </row>
    <row r="9" spans="1:12" ht="14.25" customHeight="1" x14ac:dyDescent="0.3">
      <c r="A9" s="2"/>
      <c r="B9" s="17" t="s">
        <v>72</v>
      </c>
      <c r="C9" s="178" t="s">
        <v>73</v>
      </c>
      <c r="D9" s="178"/>
      <c r="E9" s="178"/>
      <c r="F9" s="178"/>
      <c r="G9" s="178"/>
      <c r="H9" s="178"/>
      <c r="I9" s="178"/>
      <c r="J9" s="178"/>
      <c r="K9" s="18" t="s">
        <v>74</v>
      </c>
      <c r="L9" s="2"/>
    </row>
    <row r="10" spans="1:12" ht="14.25" customHeight="1" x14ac:dyDescent="0.3">
      <c r="A10" s="2"/>
      <c r="B10" s="17" t="s">
        <v>75</v>
      </c>
      <c r="C10" s="178" t="s">
        <v>76</v>
      </c>
      <c r="D10" s="178"/>
      <c r="E10" s="178"/>
      <c r="F10" s="178"/>
      <c r="G10" s="178"/>
      <c r="H10" s="178"/>
      <c r="I10" s="178"/>
      <c r="J10" s="178"/>
      <c r="K10" s="18" t="s">
        <v>77</v>
      </c>
      <c r="L10" s="2"/>
    </row>
    <row r="11" spans="1:12" x14ac:dyDescent="0.3">
      <c r="A11" s="2"/>
      <c r="B11" s="17" t="s">
        <v>78</v>
      </c>
      <c r="C11" s="178">
        <v>185000</v>
      </c>
      <c r="D11" s="178"/>
      <c r="E11" s="178"/>
      <c r="F11" s="178"/>
      <c r="G11" s="178"/>
      <c r="H11" s="178"/>
      <c r="I11" s="178"/>
      <c r="J11" s="178"/>
      <c r="K11" s="18" t="s">
        <v>79</v>
      </c>
      <c r="L11" s="2"/>
    </row>
    <row r="12" spans="1:12" ht="14.25" customHeight="1" x14ac:dyDescent="0.3">
      <c r="A12" s="2"/>
      <c r="B12" s="17" t="s">
        <v>80</v>
      </c>
      <c r="C12" s="178" t="s">
        <v>81</v>
      </c>
      <c r="D12" s="178"/>
      <c r="E12" s="178"/>
      <c r="F12" s="178"/>
      <c r="G12" s="178"/>
      <c r="H12" s="178"/>
      <c r="I12" s="178"/>
      <c r="J12" s="178"/>
      <c r="K12" s="18" t="s">
        <v>82</v>
      </c>
      <c r="L12" s="2"/>
    </row>
    <row r="13" spans="1:12" x14ac:dyDescent="0.3">
      <c r="A13" s="2"/>
      <c r="B13" s="17" t="s">
        <v>83</v>
      </c>
      <c r="C13" s="178">
        <v>2800</v>
      </c>
      <c r="D13" s="178"/>
      <c r="E13" s="178"/>
      <c r="F13" s="178"/>
      <c r="G13" s="178"/>
      <c r="H13" s="178"/>
      <c r="I13" s="178"/>
      <c r="J13" s="178"/>
      <c r="K13" s="18" t="s">
        <v>84</v>
      </c>
      <c r="L13" s="2"/>
    </row>
    <row r="14" spans="1:12" x14ac:dyDescent="0.3">
      <c r="A14" s="2"/>
      <c r="B14" s="17" t="s">
        <v>85</v>
      </c>
      <c r="C14" s="178">
        <v>1000</v>
      </c>
      <c r="D14" s="178"/>
      <c r="E14" s="178"/>
      <c r="F14" s="178"/>
      <c r="G14" s="178"/>
      <c r="H14" s="178"/>
      <c r="I14" s="178"/>
      <c r="J14" s="178"/>
      <c r="K14" s="18" t="s">
        <v>86</v>
      </c>
      <c r="L14" s="2"/>
    </row>
    <row r="15" spans="1:12" x14ac:dyDescent="0.3">
      <c r="A15" s="2"/>
      <c r="B15" s="2"/>
      <c r="C15" s="2"/>
      <c r="D15" s="2"/>
      <c r="E15" s="2"/>
      <c r="F15" s="2"/>
      <c r="G15" s="2"/>
      <c r="H15" s="2"/>
      <c r="I15" s="2"/>
      <c r="J15" s="2"/>
      <c r="K15" s="2"/>
      <c r="L15" s="2"/>
    </row>
    <row r="16" spans="1:12" ht="45" customHeight="1" x14ac:dyDescent="0.3">
      <c r="A16" s="2"/>
      <c r="B16" s="19" t="s">
        <v>87</v>
      </c>
      <c r="C16" s="20">
        <v>4</v>
      </c>
      <c r="D16" s="21" t="s">
        <v>88</v>
      </c>
      <c r="E16" s="22">
        <f>SUM(F20:F29)</f>
        <v>3.8</v>
      </c>
      <c r="F16" s="23" t="s">
        <v>89</v>
      </c>
      <c r="G16" s="22">
        <f>IF(E16=0,0,ROUND(C11/(E16*1607)*1.45*1.18,0))</f>
        <v>52</v>
      </c>
      <c r="H16" s="2"/>
      <c r="I16" s="2"/>
      <c r="J16" s="2"/>
      <c r="K16" s="24" t="s">
        <v>90</v>
      </c>
      <c r="L16" s="2"/>
    </row>
    <row r="17" spans="1:12" x14ac:dyDescent="0.3">
      <c r="A17" s="2"/>
      <c r="B17" s="2"/>
      <c r="C17" s="2"/>
      <c r="D17" s="2"/>
      <c r="E17" s="2"/>
      <c r="F17" s="2"/>
      <c r="G17" s="2"/>
      <c r="H17" s="2"/>
      <c r="I17" s="2"/>
      <c r="J17" s="2"/>
      <c r="K17" s="2"/>
      <c r="L17" s="2"/>
    </row>
    <row r="18" spans="1:12" x14ac:dyDescent="0.3">
      <c r="A18" s="2"/>
      <c r="B18" s="16" t="s">
        <v>91</v>
      </c>
      <c r="C18" s="2"/>
      <c r="D18" s="2"/>
      <c r="E18" s="2"/>
      <c r="F18" s="2"/>
      <c r="G18" s="2"/>
      <c r="H18" s="2"/>
      <c r="I18" s="2"/>
      <c r="J18" s="2"/>
      <c r="K18" s="2"/>
      <c r="L18" s="2"/>
    </row>
    <row r="19" spans="1:12" ht="26.25" customHeight="1" x14ac:dyDescent="0.3">
      <c r="A19" s="2"/>
      <c r="B19" s="15" t="s">
        <v>92</v>
      </c>
      <c r="C19" s="15" t="s">
        <v>93</v>
      </c>
      <c r="D19" s="15" t="s">
        <v>94</v>
      </c>
      <c r="E19" s="15" t="s">
        <v>95</v>
      </c>
      <c r="F19" s="15" t="s">
        <v>88</v>
      </c>
      <c r="G19" s="15" t="s">
        <v>96</v>
      </c>
      <c r="H19" s="15" t="s">
        <v>97</v>
      </c>
      <c r="I19" s="15" t="s">
        <v>98</v>
      </c>
      <c r="J19" s="15" t="s">
        <v>99</v>
      </c>
      <c r="K19" s="15" t="s">
        <v>100</v>
      </c>
      <c r="L19" s="2"/>
    </row>
    <row r="20" spans="1:12" ht="22.5" customHeight="1" x14ac:dyDescent="0.3">
      <c r="A20" s="2"/>
      <c r="B20" s="20" t="s">
        <v>101</v>
      </c>
      <c r="C20" s="20" t="s">
        <v>102</v>
      </c>
      <c r="D20" s="20" t="s">
        <v>103</v>
      </c>
      <c r="E20" s="20" t="s">
        <v>104</v>
      </c>
      <c r="F20" s="20">
        <v>1</v>
      </c>
      <c r="G20" s="20">
        <v>120</v>
      </c>
      <c r="H20" s="20">
        <v>45</v>
      </c>
      <c r="I20" s="20">
        <v>34.5</v>
      </c>
      <c r="J20" s="20">
        <v>7</v>
      </c>
      <c r="K20" s="24" t="s">
        <v>105</v>
      </c>
      <c r="L20" s="2"/>
    </row>
    <row r="21" spans="1:12" ht="45" customHeight="1" x14ac:dyDescent="0.3">
      <c r="A21" s="2"/>
      <c r="B21" s="20" t="s">
        <v>106</v>
      </c>
      <c r="C21" s="20" t="s">
        <v>107</v>
      </c>
      <c r="D21" s="20" t="s">
        <v>108</v>
      </c>
      <c r="E21" s="20" t="s">
        <v>109</v>
      </c>
      <c r="F21" s="20">
        <v>0.8</v>
      </c>
      <c r="G21" s="20">
        <v>40</v>
      </c>
      <c r="H21" s="20">
        <v>0</v>
      </c>
      <c r="I21" s="20">
        <v>14</v>
      </c>
      <c r="J21" s="20">
        <v>3.5</v>
      </c>
      <c r="K21" s="24" t="s">
        <v>110</v>
      </c>
      <c r="L21" s="2"/>
    </row>
    <row r="22" spans="1:12" x14ac:dyDescent="0.3">
      <c r="A22" s="2"/>
      <c r="B22" s="20" t="s">
        <v>111</v>
      </c>
      <c r="C22" s="20" t="s">
        <v>112</v>
      </c>
      <c r="D22" s="20" t="s">
        <v>113</v>
      </c>
      <c r="E22" s="20" t="s">
        <v>114</v>
      </c>
      <c r="F22" s="20">
        <v>1</v>
      </c>
      <c r="G22" s="20">
        <v>120</v>
      </c>
      <c r="H22" s="20">
        <v>42</v>
      </c>
      <c r="I22" s="20">
        <v>31.5</v>
      </c>
      <c r="J22" s="20">
        <v>3.5</v>
      </c>
      <c r="K22" s="24" t="s">
        <v>115</v>
      </c>
      <c r="L22" s="2"/>
    </row>
    <row r="23" spans="1:12" x14ac:dyDescent="0.3">
      <c r="A23" s="2"/>
      <c r="B23" s="20" t="s">
        <v>116</v>
      </c>
      <c r="C23" s="20" t="s">
        <v>117</v>
      </c>
      <c r="D23" s="20" t="s">
        <v>118</v>
      </c>
      <c r="E23" s="20" t="s">
        <v>114</v>
      </c>
      <c r="F23" s="20">
        <v>1</v>
      </c>
      <c r="G23" s="20">
        <v>120</v>
      </c>
      <c r="H23" s="20">
        <v>28</v>
      </c>
      <c r="I23" s="20">
        <v>17.5</v>
      </c>
      <c r="J23" s="20">
        <v>3.5</v>
      </c>
      <c r="K23" s="24" t="s">
        <v>119</v>
      </c>
      <c r="L23" s="2"/>
    </row>
    <row r="24" spans="1:12" x14ac:dyDescent="0.3">
      <c r="A24" s="2"/>
      <c r="B24" s="20"/>
      <c r="C24" s="20"/>
      <c r="D24" s="20"/>
      <c r="E24" s="20"/>
      <c r="F24" s="20"/>
      <c r="G24" s="20"/>
      <c r="H24" s="20"/>
      <c r="I24" s="20"/>
      <c r="J24" s="20"/>
      <c r="K24" s="2"/>
      <c r="L24" s="2"/>
    </row>
    <row r="25" spans="1:12" x14ac:dyDescent="0.3">
      <c r="A25" s="2"/>
      <c r="B25" s="20"/>
      <c r="C25" s="20"/>
      <c r="D25" s="20"/>
      <c r="E25" s="20"/>
      <c r="F25" s="20"/>
      <c r="G25" s="20"/>
      <c r="H25" s="20"/>
      <c r="I25" s="20"/>
      <c r="J25" s="20"/>
      <c r="K25" s="2"/>
      <c r="L25" s="2"/>
    </row>
    <row r="26" spans="1:12" x14ac:dyDescent="0.3">
      <c r="A26" s="2"/>
      <c r="B26" s="20"/>
      <c r="C26" s="20"/>
      <c r="D26" s="20"/>
      <c r="E26" s="20"/>
      <c r="F26" s="20"/>
      <c r="G26" s="20"/>
      <c r="H26" s="20"/>
      <c r="I26" s="20"/>
      <c r="J26" s="20"/>
      <c r="K26" s="2"/>
      <c r="L26" s="2"/>
    </row>
    <row r="27" spans="1:12" x14ac:dyDescent="0.3">
      <c r="A27" s="2"/>
      <c r="B27" s="20"/>
      <c r="C27" s="20"/>
      <c r="D27" s="20"/>
      <c r="E27" s="20"/>
      <c r="F27" s="20"/>
      <c r="G27" s="20"/>
      <c r="H27" s="20"/>
      <c r="I27" s="20"/>
      <c r="J27" s="20"/>
      <c r="K27" s="2"/>
      <c r="L27" s="2"/>
    </row>
    <row r="28" spans="1:12" x14ac:dyDescent="0.3">
      <c r="A28" s="2"/>
      <c r="B28" s="20"/>
      <c r="C28" s="20"/>
      <c r="D28" s="20"/>
      <c r="E28" s="20"/>
      <c r="F28" s="20"/>
      <c r="G28" s="20"/>
      <c r="H28" s="20"/>
      <c r="I28" s="20"/>
      <c r="J28" s="20"/>
      <c r="K28" s="2"/>
      <c r="L28" s="2"/>
    </row>
    <row r="29" spans="1:12" x14ac:dyDescent="0.3">
      <c r="A29" s="2"/>
      <c r="B29" s="20"/>
      <c r="C29" s="25"/>
      <c r="D29" s="20"/>
      <c r="E29" s="20"/>
      <c r="F29" s="20"/>
      <c r="G29" s="20"/>
      <c r="H29" s="20"/>
      <c r="I29" s="20"/>
      <c r="J29" s="20"/>
      <c r="K29" s="26"/>
      <c r="L29" s="2"/>
    </row>
    <row r="30" spans="1:12" x14ac:dyDescent="0.3">
      <c r="A30" s="2"/>
      <c r="B30" s="2"/>
      <c r="C30" s="27" t="s">
        <v>120</v>
      </c>
      <c r="D30" s="2"/>
      <c r="E30" s="2"/>
      <c r="F30" s="2"/>
      <c r="G30" s="2"/>
      <c r="H30" s="2"/>
      <c r="I30" s="2"/>
      <c r="J30" s="2"/>
      <c r="K30" s="28" t="s">
        <v>121</v>
      </c>
      <c r="L30" s="2"/>
    </row>
    <row r="31" spans="1:12" ht="78.75" customHeight="1" x14ac:dyDescent="0.3">
      <c r="A31" s="2"/>
      <c r="B31" s="16" t="s">
        <v>122</v>
      </c>
      <c r="C31" s="2"/>
      <c r="D31" s="2"/>
      <c r="E31" s="2"/>
      <c r="F31" s="2"/>
      <c r="G31" s="2"/>
      <c r="H31" s="2"/>
      <c r="I31" s="2"/>
      <c r="J31" s="2"/>
      <c r="K31" s="16" t="s">
        <v>123</v>
      </c>
      <c r="L31" s="2"/>
    </row>
    <row r="32" spans="1:12" x14ac:dyDescent="0.3">
      <c r="A32" s="2"/>
      <c r="B32" s="15" t="s">
        <v>124</v>
      </c>
      <c r="C32" s="15" t="str">
        <f>IF(SAISIE!C20="","",LEFT(SAISIE!B20,1)&amp;". "&amp;SAISIE!C20)</f>
        <v>M. Dupré</v>
      </c>
      <c r="D32" s="15" t="str">
        <f>IF(SAISIE!C21="","",LEFT(SAISIE!B21,1)&amp;". "&amp;SAISIE!C21)</f>
        <v>L. Martin</v>
      </c>
      <c r="E32" s="15" t="str">
        <f>IF(SAISIE!C22="","",LEFT(SAISIE!B22,1)&amp;". "&amp;SAISIE!C22)</f>
        <v>M. Lambert</v>
      </c>
      <c r="F32" s="15" t="str">
        <f>IF(SAISIE!C23="","",LEFT(SAISIE!B23,1)&amp;". "&amp;SAISIE!C23)</f>
        <v>T. Renaud</v>
      </c>
      <c r="G32" s="15" t="s">
        <v>125</v>
      </c>
      <c r="H32" s="15" t="s">
        <v>126</v>
      </c>
      <c r="I32" s="15" t="s">
        <v>127</v>
      </c>
      <c r="J32" s="15" t="s">
        <v>128</v>
      </c>
      <c r="K32" s="29" t="s">
        <v>129</v>
      </c>
      <c r="L32" s="2"/>
    </row>
    <row r="33" spans="1:12" x14ac:dyDescent="0.3">
      <c r="A33" s="2"/>
      <c r="B33" s="30" t="s">
        <v>130</v>
      </c>
      <c r="C33" s="20">
        <v>4</v>
      </c>
      <c r="D33" s="20">
        <v>1</v>
      </c>
      <c r="E33" s="20">
        <v>4</v>
      </c>
      <c r="F33" s="20">
        <v>2</v>
      </c>
      <c r="G33" s="20">
        <v>4</v>
      </c>
      <c r="H33" s="20" t="s">
        <v>131</v>
      </c>
      <c r="I33" s="20">
        <v>1</v>
      </c>
      <c r="J33" s="20">
        <v>1</v>
      </c>
      <c r="K33" s="2"/>
      <c r="L33" s="2"/>
    </row>
    <row r="34" spans="1:12" x14ac:dyDescent="0.3">
      <c r="A34" s="2"/>
      <c r="B34" s="30" t="s">
        <v>132</v>
      </c>
      <c r="C34" s="20">
        <v>4</v>
      </c>
      <c r="D34" s="20">
        <v>1</v>
      </c>
      <c r="E34" s="20">
        <v>4</v>
      </c>
      <c r="F34" s="20">
        <v>2</v>
      </c>
      <c r="G34" s="20">
        <v>4</v>
      </c>
      <c r="H34" s="20" t="s">
        <v>131</v>
      </c>
      <c r="I34" s="20">
        <v>1</v>
      </c>
      <c r="J34" s="20">
        <v>1</v>
      </c>
      <c r="K34" s="2"/>
      <c r="L34" s="2"/>
    </row>
    <row r="35" spans="1:12" x14ac:dyDescent="0.3">
      <c r="A35" s="2"/>
      <c r="B35" s="30" t="s">
        <v>133</v>
      </c>
      <c r="C35" s="20">
        <v>4</v>
      </c>
      <c r="D35" s="20">
        <v>1</v>
      </c>
      <c r="E35" s="20">
        <v>3</v>
      </c>
      <c r="F35" s="20">
        <v>2</v>
      </c>
      <c r="G35" s="20">
        <v>3</v>
      </c>
      <c r="H35" s="20" t="s">
        <v>131</v>
      </c>
      <c r="I35" s="20">
        <v>1</v>
      </c>
      <c r="J35" s="20">
        <v>1</v>
      </c>
      <c r="K35" s="2"/>
      <c r="L35" s="2"/>
    </row>
    <row r="36" spans="1:12" x14ac:dyDescent="0.3">
      <c r="A36" s="2"/>
      <c r="B36" s="30" t="s">
        <v>134</v>
      </c>
      <c r="C36" s="20">
        <v>4</v>
      </c>
      <c r="D36" s="20">
        <v>1</v>
      </c>
      <c r="E36" s="20">
        <v>4</v>
      </c>
      <c r="F36" s="20">
        <v>2</v>
      </c>
      <c r="G36" s="20">
        <v>4</v>
      </c>
      <c r="H36" s="20" t="s">
        <v>131</v>
      </c>
      <c r="I36" s="20">
        <v>1</v>
      </c>
      <c r="J36" s="20">
        <v>1</v>
      </c>
      <c r="K36" s="2"/>
      <c r="L36" s="2"/>
    </row>
    <row r="37" spans="1:12" x14ac:dyDescent="0.3">
      <c r="A37" s="2"/>
      <c r="B37" s="30" t="s">
        <v>135</v>
      </c>
      <c r="C37" s="20">
        <v>4</v>
      </c>
      <c r="D37" s="20">
        <v>1</v>
      </c>
      <c r="E37" s="20">
        <v>4</v>
      </c>
      <c r="F37" s="20">
        <v>2</v>
      </c>
      <c r="G37" s="20">
        <v>3</v>
      </c>
      <c r="H37" s="20" t="s">
        <v>131</v>
      </c>
      <c r="I37" s="20">
        <v>1</v>
      </c>
      <c r="J37" s="20">
        <v>1</v>
      </c>
      <c r="K37" s="2"/>
      <c r="L37" s="2"/>
    </row>
    <row r="38" spans="1:12" x14ac:dyDescent="0.3">
      <c r="A38" s="2"/>
      <c r="B38" s="30" t="s">
        <v>136</v>
      </c>
      <c r="C38" s="20">
        <v>3</v>
      </c>
      <c r="D38" s="20">
        <v>2</v>
      </c>
      <c r="E38" s="20">
        <v>2</v>
      </c>
      <c r="F38" s="20">
        <v>2</v>
      </c>
      <c r="G38" s="20">
        <v>4</v>
      </c>
      <c r="H38" s="20" t="s">
        <v>137</v>
      </c>
      <c r="I38" s="20">
        <v>3</v>
      </c>
      <c r="J38" s="20">
        <v>3</v>
      </c>
      <c r="K38" s="2"/>
      <c r="L38" s="2"/>
    </row>
    <row r="39" spans="1:12" x14ac:dyDescent="0.3">
      <c r="A39" s="2"/>
      <c r="B39" s="30" t="s">
        <v>138</v>
      </c>
      <c r="C39" s="20">
        <v>3</v>
      </c>
      <c r="D39" s="20">
        <v>2</v>
      </c>
      <c r="E39" s="20">
        <v>2</v>
      </c>
      <c r="F39" s="20">
        <v>2</v>
      </c>
      <c r="G39" s="20">
        <v>4</v>
      </c>
      <c r="H39" s="20" t="s">
        <v>137</v>
      </c>
      <c r="I39" s="20">
        <v>3</v>
      </c>
      <c r="J39" s="20">
        <v>2</v>
      </c>
      <c r="K39" s="2"/>
      <c r="L39" s="2"/>
    </row>
    <row r="40" spans="1:12" x14ac:dyDescent="0.3">
      <c r="A40" s="2"/>
      <c r="B40" s="30" t="s">
        <v>139</v>
      </c>
      <c r="C40" s="20">
        <v>3</v>
      </c>
      <c r="D40" s="20">
        <v>2</v>
      </c>
      <c r="E40" s="20">
        <v>2</v>
      </c>
      <c r="F40" s="20">
        <v>2</v>
      </c>
      <c r="G40" s="20">
        <v>4</v>
      </c>
      <c r="H40" s="20" t="s">
        <v>137</v>
      </c>
      <c r="I40" s="20">
        <v>3</v>
      </c>
      <c r="J40" s="20">
        <v>2</v>
      </c>
      <c r="K40" s="2"/>
      <c r="L40" s="2"/>
    </row>
    <row r="41" spans="1:12" x14ac:dyDescent="0.3">
      <c r="A41" s="2"/>
      <c r="B41" s="30" t="s">
        <v>140</v>
      </c>
      <c r="C41" s="20">
        <v>3</v>
      </c>
      <c r="D41" s="20">
        <v>2</v>
      </c>
      <c r="E41" s="20">
        <v>3</v>
      </c>
      <c r="F41" s="20">
        <v>2</v>
      </c>
      <c r="G41" s="20">
        <v>4</v>
      </c>
      <c r="H41" s="20" t="s">
        <v>137</v>
      </c>
      <c r="I41" s="20">
        <v>3</v>
      </c>
      <c r="J41" s="20">
        <v>1</v>
      </c>
      <c r="K41" s="2"/>
      <c r="L41" s="2"/>
    </row>
    <row r="42" spans="1:12" x14ac:dyDescent="0.3">
      <c r="A42" s="2"/>
      <c r="B42" s="30" t="s">
        <v>141</v>
      </c>
      <c r="C42" s="20">
        <v>3</v>
      </c>
      <c r="D42" s="20">
        <v>3</v>
      </c>
      <c r="E42" s="20">
        <v>2</v>
      </c>
      <c r="F42" s="20">
        <v>3</v>
      </c>
      <c r="G42" s="20">
        <v>3</v>
      </c>
      <c r="H42" s="20" t="s">
        <v>142</v>
      </c>
      <c r="I42" s="20">
        <v>2</v>
      </c>
      <c r="J42" s="20">
        <v>2</v>
      </c>
      <c r="K42" s="2"/>
      <c r="L42" s="2"/>
    </row>
    <row r="43" spans="1:12" x14ac:dyDescent="0.3">
      <c r="A43" s="2"/>
      <c r="B43" s="30" t="s">
        <v>143</v>
      </c>
      <c r="C43" s="20">
        <v>3</v>
      </c>
      <c r="D43" s="20">
        <v>2</v>
      </c>
      <c r="E43" s="20">
        <v>1</v>
      </c>
      <c r="F43" s="20">
        <v>2</v>
      </c>
      <c r="G43" s="20">
        <v>4</v>
      </c>
      <c r="H43" s="20" t="s">
        <v>137</v>
      </c>
      <c r="I43" s="20">
        <v>3</v>
      </c>
      <c r="J43" s="20">
        <v>2</v>
      </c>
      <c r="K43" s="2"/>
      <c r="L43" s="2"/>
    </row>
    <row r="44" spans="1:12" x14ac:dyDescent="0.3">
      <c r="A44" s="2"/>
      <c r="B44" s="30" t="s">
        <v>144</v>
      </c>
      <c r="C44" s="20">
        <v>4</v>
      </c>
      <c r="D44" s="20">
        <v>2</v>
      </c>
      <c r="E44" s="20">
        <v>3</v>
      </c>
      <c r="F44" s="20">
        <v>2</v>
      </c>
      <c r="G44" s="20">
        <v>3</v>
      </c>
      <c r="H44" s="20" t="s">
        <v>131</v>
      </c>
      <c r="I44" s="20">
        <v>1</v>
      </c>
      <c r="J44" s="20">
        <v>1</v>
      </c>
      <c r="K44" s="2"/>
      <c r="L44" s="2"/>
    </row>
    <row r="45" spans="1:12" x14ac:dyDescent="0.3">
      <c r="A45" s="2"/>
      <c r="B45" s="30" t="s">
        <v>145</v>
      </c>
      <c r="C45" s="20">
        <v>3</v>
      </c>
      <c r="D45" s="20">
        <v>2</v>
      </c>
      <c r="E45" s="20">
        <v>2</v>
      </c>
      <c r="F45" s="20">
        <v>2</v>
      </c>
      <c r="G45" s="20">
        <v>3</v>
      </c>
      <c r="H45" s="20" t="s">
        <v>142</v>
      </c>
      <c r="I45" s="20">
        <v>2</v>
      </c>
      <c r="J45" s="20">
        <v>2</v>
      </c>
      <c r="K45" s="2"/>
      <c r="L45" s="2"/>
    </row>
    <row r="46" spans="1:12" x14ac:dyDescent="0.3">
      <c r="A46" s="2"/>
      <c r="B46" s="30" t="s">
        <v>146</v>
      </c>
      <c r="C46" s="20">
        <v>4</v>
      </c>
      <c r="D46" s="20">
        <v>2</v>
      </c>
      <c r="E46" s="20">
        <v>4</v>
      </c>
      <c r="F46" s="20">
        <v>3</v>
      </c>
      <c r="G46" s="20">
        <v>4</v>
      </c>
      <c r="H46" s="20" t="s">
        <v>137</v>
      </c>
      <c r="I46" s="20">
        <v>3</v>
      </c>
      <c r="J46" s="20">
        <v>1</v>
      </c>
      <c r="K46" s="2"/>
      <c r="L46" s="2"/>
    </row>
    <row r="47" spans="1:12" x14ac:dyDescent="0.3">
      <c r="A47" s="2"/>
      <c r="B47" s="19" t="s">
        <v>147</v>
      </c>
      <c r="C47" s="20">
        <v>3</v>
      </c>
      <c r="D47" s="20">
        <v>1</v>
      </c>
      <c r="E47" s="20">
        <v>2</v>
      </c>
      <c r="F47" s="20">
        <v>1</v>
      </c>
      <c r="G47" s="20">
        <v>3</v>
      </c>
      <c r="H47" s="20" t="s">
        <v>142</v>
      </c>
      <c r="I47" s="20">
        <v>2</v>
      </c>
      <c r="J47" s="20">
        <v>2</v>
      </c>
      <c r="K47" s="2"/>
      <c r="L47" s="2"/>
    </row>
    <row r="48" spans="1:12" x14ac:dyDescent="0.3">
      <c r="A48" s="2"/>
      <c r="B48" s="16" t="s">
        <v>148</v>
      </c>
      <c r="C48" s="16">
        <v>3</v>
      </c>
      <c r="D48" s="16">
        <v>2</v>
      </c>
      <c r="E48" s="16">
        <v>2</v>
      </c>
      <c r="F48" s="16">
        <v>2</v>
      </c>
      <c r="G48" s="16">
        <v>3</v>
      </c>
      <c r="H48" s="16" t="s">
        <v>131</v>
      </c>
      <c r="I48" s="16">
        <v>1</v>
      </c>
      <c r="J48" s="16">
        <v>1</v>
      </c>
      <c r="K48" s="2"/>
      <c r="L48" s="2"/>
    </row>
    <row r="49" spans="1:12" x14ac:dyDescent="0.3">
      <c r="A49" s="2"/>
      <c r="B49" s="2"/>
      <c r="C49" s="2"/>
      <c r="D49" s="2"/>
      <c r="E49" s="2"/>
      <c r="F49" s="2"/>
      <c r="G49" s="2"/>
      <c r="H49" s="2"/>
      <c r="I49" s="2"/>
      <c r="J49" s="2"/>
      <c r="K49" s="2"/>
      <c r="L49" s="2"/>
    </row>
    <row r="50" spans="1:12" x14ac:dyDescent="0.3">
      <c r="A50" s="2"/>
      <c r="B50" s="2"/>
      <c r="C50" s="2"/>
      <c r="D50" s="2"/>
      <c r="E50" s="2"/>
      <c r="F50" s="2"/>
      <c r="G50" s="2"/>
      <c r="H50" s="2"/>
      <c r="I50" s="2"/>
      <c r="J50" s="2"/>
      <c r="K50" s="2"/>
      <c r="L50" s="2"/>
    </row>
    <row r="51" spans="1:12" ht="15" customHeight="1" x14ac:dyDescent="0.3">
      <c r="A51" s="2"/>
      <c r="B51" s="14" t="s">
        <v>149</v>
      </c>
      <c r="C51" s="2"/>
      <c r="D51" s="2"/>
      <c r="E51" s="2"/>
      <c r="F51" s="2"/>
      <c r="G51" s="2"/>
      <c r="H51" s="2"/>
      <c r="I51" s="2"/>
      <c r="J51" s="2"/>
      <c r="K51" s="2"/>
      <c r="L51" s="2"/>
    </row>
    <row r="52" spans="1:12" ht="26.25" customHeight="1" x14ac:dyDescent="0.3">
      <c r="A52" s="2"/>
      <c r="B52" s="15" t="s">
        <v>150</v>
      </c>
      <c r="C52" s="15" t="s">
        <v>151</v>
      </c>
      <c r="D52" s="15" t="s">
        <v>124</v>
      </c>
      <c r="E52" s="15" t="s">
        <v>152</v>
      </c>
      <c r="F52" s="15" t="s">
        <v>153</v>
      </c>
      <c r="G52" s="15" t="s">
        <v>154</v>
      </c>
      <c r="H52" s="15" t="s">
        <v>155</v>
      </c>
      <c r="I52" s="15" t="s">
        <v>156</v>
      </c>
      <c r="J52" s="31" t="s">
        <v>157</v>
      </c>
      <c r="K52" s="2"/>
      <c r="L52" s="2"/>
    </row>
    <row r="53" spans="1:12" ht="66" customHeight="1" x14ac:dyDescent="0.3">
      <c r="A53" s="2"/>
      <c r="B53" s="32" t="s">
        <v>158</v>
      </c>
      <c r="C53" s="32" t="s">
        <v>102</v>
      </c>
      <c r="D53" s="32" t="s">
        <v>159</v>
      </c>
      <c r="E53" s="33" t="s">
        <v>160</v>
      </c>
      <c r="F53" s="33" t="s">
        <v>161</v>
      </c>
      <c r="G53" s="32">
        <v>45</v>
      </c>
      <c r="H53" s="32">
        <v>1490</v>
      </c>
      <c r="I53" s="32" t="s">
        <v>162</v>
      </c>
      <c r="J53" s="34" t="s">
        <v>162</v>
      </c>
      <c r="K53" s="29" t="s">
        <v>163</v>
      </c>
      <c r="L53" s="2"/>
    </row>
    <row r="54" spans="1:12" ht="78.75" customHeight="1" x14ac:dyDescent="0.3">
      <c r="A54" s="2"/>
      <c r="B54" s="32" t="s">
        <v>158</v>
      </c>
      <c r="C54" s="32" t="s">
        <v>112</v>
      </c>
      <c r="D54" s="32" t="s">
        <v>159</v>
      </c>
      <c r="E54" s="33" t="s">
        <v>164</v>
      </c>
      <c r="F54" s="33" t="s">
        <v>165</v>
      </c>
      <c r="G54" s="32">
        <v>42</v>
      </c>
      <c r="H54" s="32">
        <v>2390</v>
      </c>
      <c r="I54" s="32" t="s">
        <v>162</v>
      </c>
      <c r="J54" s="34" t="s">
        <v>162</v>
      </c>
      <c r="K54" s="2"/>
      <c r="L54" s="2"/>
    </row>
    <row r="55" spans="1:12" ht="66" customHeight="1" x14ac:dyDescent="0.3">
      <c r="A55" s="2"/>
      <c r="B55" s="32" t="s">
        <v>158</v>
      </c>
      <c r="C55" s="32" t="s">
        <v>117</v>
      </c>
      <c r="D55" s="32" t="s">
        <v>159</v>
      </c>
      <c r="E55" s="33" t="s">
        <v>166</v>
      </c>
      <c r="F55" s="33" t="s">
        <v>167</v>
      </c>
      <c r="G55" s="32">
        <v>28</v>
      </c>
      <c r="H55" s="32">
        <v>1550</v>
      </c>
      <c r="I55" s="32" t="s">
        <v>162</v>
      </c>
      <c r="J55" s="34" t="s">
        <v>162</v>
      </c>
      <c r="K55" s="29" t="s">
        <v>168</v>
      </c>
      <c r="L55" s="2"/>
    </row>
    <row r="56" spans="1:12" ht="78.75" customHeight="1" x14ac:dyDescent="0.3">
      <c r="A56" s="2"/>
      <c r="B56" s="32" t="s">
        <v>169</v>
      </c>
      <c r="C56" s="32" t="s">
        <v>102</v>
      </c>
      <c r="D56" s="32" t="s">
        <v>159</v>
      </c>
      <c r="E56" s="33" t="s">
        <v>170</v>
      </c>
      <c r="F56" s="33" t="s">
        <v>171</v>
      </c>
      <c r="G56" s="32">
        <v>27.5</v>
      </c>
      <c r="H56" s="32">
        <v>1690</v>
      </c>
      <c r="I56" s="32" t="s">
        <v>162</v>
      </c>
      <c r="J56" s="34" t="s">
        <v>162</v>
      </c>
      <c r="K56" s="2"/>
      <c r="L56" s="2"/>
    </row>
    <row r="57" spans="1:12" ht="78.75" customHeight="1" x14ac:dyDescent="0.3">
      <c r="A57" s="2"/>
      <c r="B57" s="32" t="s">
        <v>169</v>
      </c>
      <c r="C57" s="32" t="s">
        <v>112</v>
      </c>
      <c r="D57" s="32" t="s">
        <v>159</v>
      </c>
      <c r="E57" s="33" t="s">
        <v>172</v>
      </c>
      <c r="F57" s="33" t="s">
        <v>173</v>
      </c>
      <c r="G57" s="32">
        <v>24.5</v>
      </c>
      <c r="H57" s="32">
        <v>1840</v>
      </c>
      <c r="I57" s="32" t="s">
        <v>162</v>
      </c>
      <c r="J57" s="34" t="s">
        <v>162</v>
      </c>
      <c r="K57" s="2"/>
      <c r="L57" s="2"/>
    </row>
    <row r="58" spans="1:12" ht="66" customHeight="1" x14ac:dyDescent="0.3">
      <c r="A58" s="2"/>
      <c r="B58" s="32" t="s">
        <v>169</v>
      </c>
      <c r="C58" s="32" t="s">
        <v>117</v>
      </c>
      <c r="D58" s="32" t="s">
        <v>159</v>
      </c>
      <c r="E58" s="33" t="s">
        <v>174</v>
      </c>
      <c r="F58" s="33" t="s">
        <v>175</v>
      </c>
      <c r="G58" s="32">
        <v>10.5</v>
      </c>
      <c r="H58" s="32">
        <v>1000</v>
      </c>
      <c r="I58" s="32" t="s">
        <v>162</v>
      </c>
      <c r="J58" s="34" t="s">
        <v>162</v>
      </c>
      <c r="K58" s="2"/>
      <c r="L58" s="2"/>
    </row>
    <row r="59" spans="1:12" ht="24" customHeight="1" x14ac:dyDescent="0.3">
      <c r="A59" s="2"/>
      <c r="B59" s="35" t="s">
        <v>176</v>
      </c>
      <c r="C59" s="20"/>
      <c r="D59" s="20"/>
      <c r="E59" s="36"/>
      <c r="F59" s="36"/>
      <c r="G59" s="20"/>
      <c r="H59" s="20"/>
      <c r="I59" s="20"/>
      <c r="J59" s="2"/>
      <c r="K59" s="2"/>
      <c r="L59" s="2"/>
    </row>
    <row r="60" spans="1:12" ht="39" customHeight="1" x14ac:dyDescent="0.3">
      <c r="A60" s="2"/>
      <c r="B60" s="37" t="s">
        <v>177</v>
      </c>
      <c r="C60" s="37" t="s">
        <v>107</v>
      </c>
      <c r="D60" s="37" t="s">
        <v>178</v>
      </c>
      <c r="E60" s="38" t="s">
        <v>179</v>
      </c>
      <c r="F60" s="38" t="s">
        <v>180</v>
      </c>
      <c r="G60" s="37">
        <v>7</v>
      </c>
      <c r="H60" s="37">
        <v>0</v>
      </c>
      <c r="I60" s="37" t="s">
        <v>181</v>
      </c>
      <c r="J60" s="39" t="s">
        <v>182</v>
      </c>
      <c r="K60" s="2"/>
      <c r="L60" s="2"/>
    </row>
    <row r="61" spans="1:12" ht="26.25" customHeight="1" x14ac:dyDescent="0.3">
      <c r="A61" s="2"/>
      <c r="B61" s="37" t="s">
        <v>183</v>
      </c>
      <c r="C61" s="37" t="s">
        <v>112</v>
      </c>
      <c r="D61" s="37" t="s">
        <v>184</v>
      </c>
      <c r="E61" s="38" t="s">
        <v>185</v>
      </c>
      <c r="F61" s="38" t="s">
        <v>186</v>
      </c>
      <c r="G61" s="37">
        <v>7</v>
      </c>
      <c r="H61" s="37">
        <v>890</v>
      </c>
      <c r="I61" s="37" t="s">
        <v>162</v>
      </c>
      <c r="J61" s="34" t="s">
        <v>162</v>
      </c>
      <c r="K61" s="2"/>
      <c r="L61" s="2"/>
    </row>
    <row r="62" spans="1:12" ht="26.25" customHeight="1" x14ac:dyDescent="0.3">
      <c r="A62" s="2"/>
      <c r="B62" s="37" t="s">
        <v>187</v>
      </c>
      <c r="C62" s="37" t="s">
        <v>102</v>
      </c>
      <c r="D62" s="37" t="s">
        <v>146</v>
      </c>
      <c r="E62" s="38" t="s">
        <v>188</v>
      </c>
      <c r="F62" s="38" t="s">
        <v>189</v>
      </c>
      <c r="G62" s="37">
        <v>7</v>
      </c>
      <c r="H62" s="37">
        <v>0</v>
      </c>
      <c r="I62" s="37" t="s">
        <v>162</v>
      </c>
      <c r="J62" s="34" t="s">
        <v>162</v>
      </c>
      <c r="K62" s="2"/>
      <c r="L62" s="2"/>
    </row>
    <row r="63" spans="1:12" ht="26.25" customHeight="1" x14ac:dyDescent="0.3">
      <c r="A63" s="2"/>
      <c r="B63" s="37" t="s">
        <v>190</v>
      </c>
      <c r="C63" s="37" t="s">
        <v>107</v>
      </c>
      <c r="D63" s="37" t="s">
        <v>191</v>
      </c>
      <c r="E63" s="37" t="s">
        <v>192</v>
      </c>
      <c r="F63" s="37" t="s">
        <v>193</v>
      </c>
      <c r="G63" s="37">
        <v>14</v>
      </c>
      <c r="H63" s="37">
        <v>1450</v>
      </c>
      <c r="I63" s="37" t="s">
        <v>162</v>
      </c>
      <c r="J63" s="34" t="s">
        <v>162</v>
      </c>
      <c r="K63" s="2"/>
      <c r="L63" s="2"/>
    </row>
    <row r="64" spans="1:12" ht="26.25" customHeight="1" x14ac:dyDescent="0.3">
      <c r="A64" s="2"/>
      <c r="B64" s="37" t="s">
        <v>194</v>
      </c>
      <c r="C64" s="37" t="s">
        <v>117</v>
      </c>
      <c r="D64" s="37" t="s">
        <v>195</v>
      </c>
      <c r="E64" s="37" t="s">
        <v>196</v>
      </c>
      <c r="F64" s="37" t="s">
        <v>197</v>
      </c>
      <c r="G64" s="37">
        <v>7</v>
      </c>
      <c r="H64" s="37">
        <v>350</v>
      </c>
      <c r="I64" s="37" t="s">
        <v>162</v>
      </c>
      <c r="J64" s="34" t="s">
        <v>162</v>
      </c>
      <c r="K64" s="2"/>
      <c r="L64" s="2"/>
    </row>
    <row r="65" spans="1:12" ht="26.25" customHeight="1" x14ac:dyDescent="0.3">
      <c r="A65" s="2"/>
      <c r="B65" s="37" t="s">
        <v>198</v>
      </c>
      <c r="C65" s="37" t="s">
        <v>102</v>
      </c>
      <c r="D65" s="37" t="s">
        <v>199</v>
      </c>
      <c r="E65" s="37" t="s">
        <v>200</v>
      </c>
      <c r="F65" s="37" t="s">
        <v>201</v>
      </c>
      <c r="G65" s="37">
        <v>3.5</v>
      </c>
      <c r="H65" s="37">
        <v>150</v>
      </c>
      <c r="I65" s="37" t="s">
        <v>162</v>
      </c>
      <c r="J65" s="34" t="s">
        <v>162</v>
      </c>
      <c r="K65" s="2"/>
      <c r="L65" s="2"/>
    </row>
    <row r="66" spans="1:12" ht="26.25" customHeight="1" x14ac:dyDescent="0.3">
      <c r="A66" s="2"/>
      <c r="B66" s="37" t="s">
        <v>198</v>
      </c>
      <c r="C66" s="37" t="s">
        <v>112</v>
      </c>
      <c r="D66" s="37" t="s">
        <v>199</v>
      </c>
      <c r="E66" s="37" t="s">
        <v>200</v>
      </c>
      <c r="F66" s="37" t="s">
        <v>201</v>
      </c>
      <c r="G66" s="37">
        <v>3.5</v>
      </c>
      <c r="H66" s="37">
        <v>150</v>
      </c>
      <c r="I66" s="37" t="s">
        <v>162</v>
      </c>
      <c r="J66" s="34" t="s">
        <v>162</v>
      </c>
      <c r="K66" s="2"/>
      <c r="L66" s="2"/>
    </row>
    <row r="67" spans="1:12" ht="26.25" customHeight="1" x14ac:dyDescent="0.3">
      <c r="A67" s="2"/>
      <c r="B67" s="37" t="s">
        <v>198</v>
      </c>
      <c r="C67" s="37" t="s">
        <v>117</v>
      </c>
      <c r="D67" s="37" t="s">
        <v>199</v>
      </c>
      <c r="E67" s="37" t="s">
        <v>200</v>
      </c>
      <c r="F67" s="37" t="s">
        <v>201</v>
      </c>
      <c r="G67" s="37">
        <v>3.5</v>
      </c>
      <c r="H67" s="37">
        <v>150</v>
      </c>
      <c r="I67" s="37" t="s">
        <v>162</v>
      </c>
      <c r="J67" s="34" t="s">
        <v>162</v>
      </c>
      <c r="K67" s="2"/>
      <c r="L67" s="2"/>
    </row>
    <row r="68" spans="1:12" ht="26.25" customHeight="1" x14ac:dyDescent="0.3">
      <c r="A68" s="2"/>
      <c r="B68" s="37" t="s">
        <v>198</v>
      </c>
      <c r="C68" s="37" t="s">
        <v>107</v>
      </c>
      <c r="D68" s="37" t="s">
        <v>199</v>
      </c>
      <c r="E68" s="37" t="s">
        <v>200</v>
      </c>
      <c r="F68" s="37" t="s">
        <v>201</v>
      </c>
      <c r="G68" s="37">
        <v>3.5</v>
      </c>
      <c r="H68" s="37">
        <v>150</v>
      </c>
      <c r="I68" s="37" t="s">
        <v>162</v>
      </c>
      <c r="J68" s="34" t="s">
        <v>162</v>
      </c>
      <c r="K68" s="2"/>
      <c r="L68" s="2"/>
    </row>
    <row r="69" spans="1:12" ht="39" customHeight="1" x14ac:dyDescent="0.3">
      <c r="A69" s="2"/>
      <c r="B69" s="37" t="s">
        <v>202</v>
      </c>
      <c r="C69" s="37" t="s">
        <v>107</v>
      </c>
      <c r="D69" s="37" t="s">
        <v>203</v>
      </c>
      <c r="E69" s="37" t="s">
        <v>204</v>
      </c>
      <c r="F69" s="37" t="s">
        <v>205</v>
      </c>
      <c r="G69" s="37">
        <v>3</v>
      </c>
      <c r="H69" s="37">
        <v>0</v>
      </c>
      <c r="I69" s="37" t="s">
        <v>181</v>
      </c>
      <c r="J69" s="39" t="s">
        <v>182</v>
      </c>
      <c r="K69" s="2"/>
      <c r="L69" s="2"/>
    </row>
    <row r="70" spans="1:12" ht="52.5" customHeight="1" x14ac:dyDescent="0.3">
      <c r="A70" s="2"/>
      <c r="B70" s="37" t="s">
        <v>206</v>
      </c>
      <c r="C70" s="37" t="s">
        <v>102</v>
      </c>
      <c r="D70" s="37" t="s">
        <v>207</v>
      </c>
      <c r="E70" s="37" t="s">
        <v>208</v>
      </c>
      <c r="F70" s="37" t="s">
        <v>209</v>
      </c>
      <c r="G70" s="37">
        <v>3.5</v>
      </c>
      <c r="H70" s="37">
        <v>0</v>
      </c>
      <c r="I70" s="37" t="s">
        <v>162</v>
      </c>
      <c r="J70" s="34" t="s">
        <v>162</v>
      </c>
      <c r="K70" s="2" t="s">
        <v>210</v>
      </c>
      <c r="L70" s="2"/>
    </row>
    <row r="71" spans="1:12" x14ac:dyDescent="0.3">
      <c r="A71" s="2"/>
      <c r="B71" s="20"/>
      <c r="C71" s="20"/>
      <c r="D71" s="20"/>
      <c r="E71" s="20"/>
      <c r="F71" s="20"/>
      <c r="G71" s="20"/>
      <c r="H71" s="20"/>
      <c r="I71" s="20"/>
      <c r="J71" s="2"/>
      <c r="K71" s="2"/>
      <c r="L71" s="2"/>
    </row>
    <row r="72" spans="1:12" x14ac:dyDescent="0.3">
      <c r="A72" s="2"/>
      <c r="B72" s="20"/>
      <c r="C72" s="20"/>
      <c r="D72" s="20"/>
      <c r="E72" s="20"/>
      <c r="F72" s="20"/>
      <c r="G72" s="20"/>
      <c r="H72" s="20"/>
      <c r="I72" s="20"/>
      <c r="J72" s="2"/>
      <c r="K72" s="2"/>
      <c r="L72" s="2"/>
    </row>
    <row r="73" spans="1:12" ht="26.25" customHeight="1" x14ac:dyDescent="0.3">
      <c r="A73" s="2"/>
      <c r="B73" s="40" t="s">
        <v>211</v>
      </c>
      <c r="C73" s="41"/>
      <c r="D73" s="41"/>
      <c r="E73" s="41"/>
      <c r="F73" s="41"/>
      <c r="G73" s="42">
        <f>SUM(G53:G70)</f>
        <v>240</v>
      </c>
      <c r="H73" s="42">
        <f>SUM(H53:H70)</f>
        <v>13250</v>
      </c>
      <c r="I73" s="41"/>
      <c r="J73" s="43" t="s">
        <v>212</v>
      </c>
      <c r="K73" s="2"/>
      <c r="L73" s="2"/>
    </row>
    <row r="74" spans="1:12" x14ac:dyDescent="0.3">
      <c r="A74" s="2"/>
      <c r="B74" s="2"/>
      <c r="C74" s="2"/>
      <c r="D74" s="2"/>
      <c r="E74" s="2"/>
      <c r="F74" s="2"/>
      <c r="G74" s="2"/>
      <c r="H74" s="2"/>
      <c r="I74" s="2"/>
      <c r="J74" s="2"/>
      <c r="K74" s="2"/>
      <c r="L74" s="2"/>
    </row>
    <row r="75" spans="1:12" x14ac:dyDescent="0.3">
      <c r="A75" s="2"/>
      <c r="B75" s="44" t="s">
        <v>213</v>
      </c>
      <c r="C75" s="2"/>
      <c r="D75" s="2"/>
      <c r="E75" s="2"/>
      <c r="F75" s="2"/>
      <c r="G75" s="2"/>
      <c r="H75" s="2"/>
      <c r="I75" s="2"/>
      <c r="J75" s="2"/>
      <c r="K75" s="29" t="s">
        <v>214</v>
      </c>
      <c r="L75" s="2"/>
    </row>
    <row r="76" spans="1:12" ht="26.25" customHeight="1" x14ac:dyDescent="0.3">
      <c r="A76" s="2"/>
      <c r="B76" s="15" t="s">
        <v>215</v>
      </c>
      <c r="C76" s="15" t="s">
        <v>151</v>
      </c>
      <c r="D76" s="15" t="s">
        <v>154</v>
      </c>
      <c r="E76" s="15" t="s">
        <v>155</v>
      </c>
      <c r="F76" s="15" t="s">
        <v>153</v>
      </c>
      <c r="G76" s="15" t="s">
        <v>124</v>
      </c>
      <c r="H76" s="15" t="s">
        <v>216</v>
      </c>
      <c r="I76" s="15" t="s">
        <v>217</v>
      </c>
      <c r="J76" s="45" t="s">
        <v>218</v>
      </c>
      <c r="K76" s="2"/>
      <c r="L76" s="2"/>
    </row>
    <row r="77" spans="1:12" ht="39" customHeight="1" x14ac:dyDescent="0.3">
      <c r="A77" s="2"/>
      <c r="B77" s="16" t="s">
        <v>219</v>
      </c>
      <c r="C77" s="16" t="s">
        <v>112</v>
      </c>
      <c r="D77" s="16">
        <v>14</v>
      </c>
      <c r="E77" s="16">
        <v>890</v>
      </c>
      <c r="F77" s="16" t="s">
        <v>220</v>
      </c>
      <c r="G77" s="16" t="s">
        <v>203</v>
      </c>
      <c r="H77" s="16" t="s">
        <v>221</v>
      </c>
      <c r="I77" s="16" t="s">
        <v>222</v>
      </c>
      <c r="J77" s="46" t="s">
        <v>223</v>
      </c>
      <c r="K77" s="16" t="s">
        <v>224</v>
      </c>
      <c r="L77" s="2"/>
    </row>
    <row r="78" spans="1:12" ht="39" customHeight="1" x14ac:dyDescent="0.3">
      <c r="A78" s="2"/>
      <c r="B78" s="36" t="s">
        <v>225</v>
      </c>
      <c r="C78" s="20" t="s">
        <v>112</v>
      </c>
      <c r="D78" s="20">
        <v>7</v>
      </c>
      <c r="E78" s="20">
        <v>650</v>
      </c>
      <c r="F78" s="36" t="s">
        <v>226</v>
      </c>
      <c r="G78" s="20" t="s">
        <v>227</v>
      </c>
      <c r="H78" s="20" t="s">
        <v>228</v>
      </c>
      <c r="I78" s="36" t="s">
        <v>229</v>
      </c>
      <c r="J78" s="46" t="s">
        <v>230</v>
      </c>
      <c r="K78" s="2"/>
      <c r="L78" s="2"/>
    </row>
    <row r="79" spans="1:12" ht="39" customHeight="1" x14ac:dyDescent="0.3">
      <c r="A79" s="2"/>
      <c r="B79" s="36" t="s">
        <v>231</v>
      </c>
      <c r="C79" s="20" t="s">
        <v>117</v>
      </c>
      <c r="D79" s="20">
        <v>7</v>
      </c>
      <c r="E79" s="20">
        <v>1200</v>
      </c>
      <c r="F79" s="36" t="s">
        <v>232</v>
      </c>
      <c r="G79" s="20" t="s">
        <v>233</v>
      </c>
      <c r="H79" s="20" t="s">
        <v>234</v>
      </c>
      <c r="I79" s="36" t="s">
        <v>235</v>
      </c>
      <c r="J79" s="46" t="s">
        <v>236</v>
      </c>
      <c r="K79" s="2"/>
      <c r="L79" s="2"/>
    </row>
    <row r="80" spans="1:12" ht="39" customHeight="1" x14ac:dyDescent="0.3">
      <c r="A80" s="2"/>
      <c r="B80" s="36" t="s">
        <v>237</v>
      </c>
      <c r="C80" s="20" t="s">
        <v>102</v>
      </c>
      <c r="D80" s="20">
        <v>14</v>
      </c>
      <c r="E80" s="20">
        <v>890</v>
      </c>
      <c r="F80" s="36" t="s">
        <v>220</v>
      </c>
      <c r="G80" s="20" t="s">
        <v>195</v>
      </c>
      <c r="H80" s="20" t="s">
        <v>221</v>
      </c>
      <c r="I80" s="36" t="s">
        <v>238</v>
      </c>
      <c r="J80" s="46" t="s">
        <v>230</v>
      </c>
      <c r="K80" s="2"/>
      <c r="L80" s="2"/>
    </row>
    <row r="81" spans="1:12" ht="26.25" customHeight="1" x14ac:dyDescent="0.3">
      <c r="A81" s="2"/>
      <c r="B81" s="36" t="s">
        <v>239</v>
      </c>
      <c r="C81" s="20" t="s">
        <v>120</v>
      </c>
      <c r="D81" s="20">
        <v>3.5</v>
      </c>
      <c r="E81" s="20">
        <v>600</v>
      </c>
      <c r="F81" s="36" t="s">
        <v>201</v>
      </c>
      <c r="G81" s="20" t="s">
        <v>199</v>
      </c>
      <c r="H81" s="20" t="s">
        <v>234</v>
      </c>
      <c r="I81" s="36" t="s">
        <v>240</v>
      </c>
      <c r="J81" s="46" t="s">
        <v>241</v>
      </c>
      <c r="K81" s="2"/>
      <c r="L81" s="2"/>
    </row>
    <row r="82" spans="1:12" ht="26.25" customHeight="1" x14ac:dyDescent="0.3">
      <c r="A82" s="2"/>
      <c r="B82" s="36" t="s">
        <v>242</v>
      </c>
      <c r="C82" s="20" t="s">
        <v>102</v>
      </c>
      <c r="D82" s="20">
        <v>7</v>
      </c>
      <c r="E82" s="20">
        <v>350</v>
      </c>
      <c r="F82" s="36" t="s">
        <v>189</v>
      </c>
      <c r="G82" s="20" t="s">
        <v>146</v>
      </c>
      <c r="H82" s="20" t="s">
        <v>234</v>
      </c>
      <c r="I82" s="36" t="s">
        <v>243</v>
      </c>
      <c r="J82" s="46" t="s">
        <v>244</v>
      </c>
      <c r="K82" s="2"/>
      <c r="L82" s="2"/>
    </row>
    <row r="83" spans="1:12" ht="26.25" customHeight="1" x14ac:dyDescent="0.3">
      <c r="A83" s="2"/>
      <c r="B83" s="36" t="s">
        <v>245</v>
      </c>
      <c r="C83" s="20" t="s">
        <v>117</v>
      </c>
      <c r="D83" s="20">
        <v>7</v>
      </c>
      <c r="E83" s="20">
        <v>450</v>
      </c>
      <c r="F83" s="36" t="s">
        <v>246</v>
      </c>
      <c r="G83" s="20" t="s">
        <v>247</v>
      </c>
      <c r="H83" s="20" t="s">
        <v>248</v>
      </c>
      <c r="I83" s="36" t="s">
        <v>249</v>
      </c>
      <c r="J83" s="46" t="s">
        <v>236</v>
      </c>
      <c r="K83" s="2"/>
      <c r="L83" s="2"/>
    </row>
    <row r="84" spans="1:12" ht="26.25" customHeight="1" x14ac:dyDescent="0.3">
      <c r="A84" s="2"/>
      <c r="B84" s="36" t="s">
        <v>250</v>
      </c>
      <c r="C84" s="20" t="s">
        <v>117</v>
      </c>
      <c r="D84" s="20">
        <v>7</v>
      </c>
      <c r="E84" s="20">
        <v>550</v>
      </c>
      <c r="F84" s="36" t="s">
        <v>246</v>
      </c>
      <c r="G84" s="20" t="s">
        <v>251</v>
      </c>
      <c r="H84" s="20" t="s">
        <v>248</v>
      </c>
      <c r="I84" s="36" t="s">
        <v>252</v>
      </c>
      <c r="J84" s="46" t="s">
        <v>253</v>
      </c>
      <c r="K84" s="2"/>
      <c r="L84" s="2"/>
    </row>
    <row r="85" spans="1:12" ht="39" customHeight="1" x14ac:dyDescent="0.3">
      <c r="A85" s="2"/>
      <c r="B85" s="37" t="s">
        <v>254</v>
      </c>
      <c r="C85" s="37" t="s">
        <v>117</v>
      </c>
      <c r="D85" s="37">
        <v>14</v>
      </c>
      <c r="E85" s="37">
        <v>890</v>
      </c>
      <c r="F85" s="37" t="s">
        <v>220</v>
      </c>
      <c r="G85" s="37" t="s">
        <v>191</v>
      </c>
      <c r="H85" s="37" t="s">
        <v>248</v>
      </c>
      <c r="I85" s="37" t="s">
        <v>255</v>
      </c>
      <c r="J85" s="46" t="s">
        <v>241</v>
      </c>
      <c r="K85" s="29" t="s">
        <v>256</v>
      </c>
      <c r="L85" s="2"/>
    </row>
    <row r="86" spans="1:12" ht="39" customHeight="1" x14ac:dyDescent="0.3">
      <c r="A86" s="2"/>
      <c r="B86" s="37" t="s">
        <v>257</v>
      </c>
      <c r="C86" s="37" t="s">
        <v>117</v>
      </c>
      <c r="D86" s="37">
        <v>7</v>
      </c>
      <c r="E86" s="37">
        <v>0</v>
      </c>
      <c r="F86" s="37" t="s">
        <v>258</v>
      </c>
      <c r="G86" s="37" t="s">
        <v>259</v>
      </c>
      <c r="H86" s="37" t="s">
        <v>221</v>
      </c>
      <c r="I86" s="37" t="s">
        <v>260</v>
      </c>
      <c r="J86" s="46" t="s">
        <v>230</v>
      </c>
      <c r="K86" s="29" t="s">
        <v>261</v>
      </c>
      <c r="L86" s="2"/>
    </row>
    <row r="87" spans="1:12" ht="26.25" customHeight="1" x14ac:dyDescent="0.3">
      <c r="A87" s="2"/>
      <c r="B87" s="37" t="s">
        <v>262</v>
      </c>
      <c r="C87" s="37" t="s">
        <v>117</v>
      </c>
      <c r="D87" s="37">
        <v>7</v>
      </c>
      <c r="E87" s="37">
        <v>0</v>
      </c>
      <c r="F87" s="37" t="s">
        <v>263</v>
      </c>
      <c r="G87" s="37" t="s">
        <v>264</v>
      </c>
      <c r="H87" s="37" t="s">
        <v>248</v>
      </c>
      <c r="I87" s="37" t="s">
        <v>265</v>
      </c>
      <c r="J87" s="46" t="s">
        <v>223</v>
      </c>
      <c r="K87" s="29" t="s">
        <v>266</v>
      </c>
      <c r="L87" s="2"/>
    </row>
    <row r="88" spans="1:12" ht="39" customHeight="1" x14ac:dyDescent="0.3">
      <c r="A88" s="2"/>
      <c r="B88" s="37" t="s">
        <v>267</v>
      </c>
      <c r="C88" s="37" t="s">
        <v>102</v>
      </c>
      <c r="D88" s="37">
        <v>7</v>
      </c>
      <c r="E88" s="37">
        <v>0</v>
      </c>
      <c r="F88" s="37" t="s">
        <v>268</v>
      </c>
      <c r="G88" s="37" t="s">
        <v>203</v>
      </c>
      <c r="H88" s="37" t="s">
        <v>234</v>
      </c>
      <c r="I88" s="37" t="s">
        <v>269</v>
      </c>
      <c r="J88" s="46" t="s">
        <v>223</v>
      </c>
      <c r="K88" s="2"/>
      <c r="L88" s="2"/>
    </row>
    <row r="89" spans="1:12" ht="52.5" customHeight="1" x14ac:dyDescent="0.3">
      <c r="A89" s="2"/>
      <c r="B89" s="42" t="s">
        <v>270</v>
      </c>
      <c r="C89" s="42" t="s">
        <v>117</v>
      </c>
      <c r="D89" s="42">
        <v>3.5</v>
      </c>
      <c r="E89" s="42">
        <v>0</v>
      </c>
      <c r="F89" s="42" t="s">
        <v>271</v>
      </c>
      <c r="G89" s="42" t="s">
        <v>259</v>
      </c>
      <c r="H89" s="42" t="s">
        <v>248</v>
      </c>
      <c r="I89" s="42" t="s">
        <v>272</v>
      </c>
      <c r="J89" s="46" t="s">
        <v>241</v>
      </c>
      <c r="K89" s="47" t="s">
        <v>273</v>
      </c>
      <c r="L89" s="2"/>
    </row>
    <row r="90" spans="1:12" ht="26.25" customHeight="1" x14ac:dyDescent="0.3">
      <c r="A90" s="2"/>
      <c r="B90" s="48" t="s">
        <v>274</v>
      </c>
      <c r="C90" s="49"/>
      <c r="D90" s="22">
        <f>SUM(D77:D89)</f>
        <v>105</v>
      </c>
      <c r="E90" s="22">
        <f>SUM(E77:E89)</f>
        <v>6470</v>
      </c>
      <c r="F90" s="49"/>
      <c r="G90" s="49"/>
      <c r="H90" s="49"/>
      <c r="I90" s="49"/>
      <c r="J90" s="2"/>
      <c r="K90" s="2"/>
      <c r="L90" s="2"/>
    </row>
    <row r="91" spans="1:12" x14ac:dyDescent="0.3">
      <c r="A91" s="2"/>
      <c r="B91" s="2"/>
      <c r="C91" s="2"/>
      <c r="D91" s="2"/>
      <c r="E91" s="2"/>
      <c r="F91" s="2"/>
      <c r="G91" s="2"/>
      <c r="H91" s="2"/>
      <c r="I91" s="2"/>
      <c r="J91" s="2"/>
      <c r="K91" s="2"/>
      <c r="L91" s="2"/>
    </row>
    <row r="92" spans="1:12" x14ac:dyDescent="0.3">
      <c r="A92" s="2"/>
      <c r="B92" s="50" t="s">
        <v>275</v>
      </c>
      <c r="C92" s="2"/>
      <c r="D92" s="2"/>
      <c r="E92" s="2"/>
      <c r="F92" s="2"/>
      <c r="G92" s="2"/>
      <c r="H92" s="2"/>
      <c r="I92" s="2"/>
      <c r="J92" s="2"/>
      <c r="K92" s="29" t="s">
        <v>276</v>
      </c>
      <c r="L92" s="2"/>
    </row>
    <row r="93" spans="1:12" ht="78.75" customHeight="1" x14ac:dyDescent="0.3">
      <c r="A93" s="2"/>
      <c r="B93" s="16" t="s">
        <v>277</v>
      </c>
      <c r="C93" s="2"/>
      <c r="D93" s="2"/>
      <c r="E93" s="2"/>
      <c r="F93" s="2"/>
      <c r="G93" s="2"/>
      <c r="H93" s="2"/>
      <c r="I93" s="2"/>
      <c r="J93" s="2"/>
      <c r="K93" s="2"/>
      <c r="L93" s="2"/>
    </row>
    <row r="94" spans="1:12" ht="26.25" customHeight="1" x14ac:dyDescent="0.3">
      <c r="A94" s="2"/>
      <c r="B94" s="51" t="s">
        <v>278</v>
      </c>
      <c r="C94" s="51" t="s">
        <v>279</v>
      </c>
      <c r="D94" s="51" t="s">
        <v>124</v>
      </c>
      <c r="E94" s="51" t="s">
        <v>154</v>
      </c>
      <c r="F94" s="51" t="s">
        <v>280</v>
      </c>
      <c r="G94" s="2"/>
      <c r="H94" s="2"/>
      <c r="I94" s="2"/>
      <c r="J94" s="2"/>
      <c r="K94" s="29" t="s">
        <v>281</v>
      </c>
      <c r="L94" s="2"/>
    </row>
    <row r="95" spans="1:12" x14ac:dyDescent="0.3">
      <c r="A95" s="2"/>
      <c r="B95" s="37" t="s">
        <v>107</v>
      </c>
      <c r="C95" s="37" t="s">
        <v>112</v>
      </c>
      <c r="D95" s="38" t="s">
        <v>282</v>
      </c>
      <c r="E95" s="37">
        <v>14</v>
      </c>
      <c r="F95" s="37">
        <v>890</v>
      </c>
      <c r="G95" s="2"/>
      <c r="H95" s="2"/>
      <c r="I95" s="2"/>
      <c r="J95" s="2"/>
      <c r="K95" s="52" t="s">
        <v>283</v>
      </c>
      <c r="L95" s="2"/>
    </row>
    <row r="96" spans="1:12" x14ac:dyDescent="0.3">
      <c r="A96" s="2"/>
      <c r="B96" s="37" t="s">
        <v>112</v>
      </c>
      <c r="C96" s="37" t="s">
        <v>107</v>
      </c>
      <c r="D96" s="38" t="s">
        <v>284</v>
      </c>
      <c r="E96" s="37">
        <v>14</v>
      </c>
      <c r="F96" s="37">
        <v>980</v>
      </c>
      <c r="G96" s="2"/>
      <c r="H96" s="2"/>
      <c r="I96" s="2"/>
      <c r="J96" s="2"/>
      <c r="K96" s="2" t="s">
        <v>285</v>
      </c>
      <c r="L96" s="2"/>
    </row>
    <row r="97" spans="1:12" x14ac:dyDescent="0.3">
      <c r="A97" s="2"/>
      <c r="B97" s="37" t="s">
        <v>112</v>
      </c>
      <c r="C97" s="37" t="s">
        <v>117</v>
      </c>
      <c r="D97" s="38" t="s">
        <v>286</v>
      </c>
      <c r="E97" s="37">
        <v>7</v>
      </c>
      <c r="F97" s="37">
        <v>450</v>
      </c>
      <c r="G97" s="2"/>
      <c r="H97" s="2"/>
      <c r="I97" s="2"/>
      <c r="J97" s="2"/>
      <c r="K97" s="2" t="s">
        <v>287</v>
      </c>
      <c r="L97" s="2"/>
    </row>
    <row r="98" spans="1:12" x14ac:dyDescent="0.3">
      <c r="A98" s="2"/>
      <c r="B98" s="37" t="s">
        <v>112</v>
      </c>
      <c r="C98" s="37" t="s">
        <v>117</v>
      </c>
      <c r="D98" s="38" t="s">
        <v>288</v>
      </c>
      <c r="E98" s="37">
        <v>7</v>
      </c>
      <c r="F98" s="37">
        <v>890</v>
      </c>
      <c r="G98" s="2"/>
      <c r="H98" s="2"/>
      <c r="I98" s="2"/>
      <c r="J98" s="2"/>
      <c r="K98" s="2" t="s">
        <v>289</v>
      </c>
      <c r="L98" s="2"/>
    </row>
    <row r="99" spans="1:12" x14ac:dyDescent="0.3">
      <c r="A99" s="2"/>
      <c r="B99" s="37" t="s">
        <v>112</v>
      </c>
      <c r="C99" s="37" t="s">
        <v>102</v>
      </c>
      <c r="D99" s="37" t="s">
        <v>290</v>
      </c>
      <c r="E99" s="37">
        <v>3.5</v>
      </c>
      <c r="F99" s="37">
        <v>325</v>
      </c>
      <c r="G99" s="2"/>
      <c r="H99" s="2"/>
      <c r="I99" s="2"/>
      <c r="J99" s="2"/>
      <c r="K99" s="2" t="s">
        <v>291</v>
      </c>
      <c r="L99" s="2"/>
    </row>
    <row r="100" spans="1:12" x14ac:dyDescent="0.3">
      <c r="A100" s="2"/>
      <c r="B100" s="37" t="s">
        <v>112</v>
      </c>
      <c r="C100" s="37" t="s">
        <v>107</v>
      </c>
      <c r="D100" s="37" t="s">
        <v>290</v>
      </c>
      <c r="E100" s="37">
        <v>3.5</v>
      </c>
      <c r="F100" s="37">
        <v>0</v>
      </c>
      <c r="G100" s="2"/>
      <c r="H100" s="2"/>
      <c r="I100" s="2"/>
      <c r="J100" s="2"/>
      <c r="K100" s="2" t="s">
        <v>292</v>
      </c>
      <c r="L100" s="2"/>
    </row>
    <row r="101" spans="1:12" x14ac:dyDescent="0.3">
      <c r="A101" s="2"/>
      <c r="B101" s="37" t="s">
        <v>112</v>
      </c>
      <c r="C101" s="37" t="s">
        <v>117</v>
      </c>
      <c r="D101" s="37" t="s">
        <v>290</v>
      </c>
      <c r="E101" s="37">
        <v>3.5</v>
      </c>
      <c r="F101" s="37">
        <v>0</v>
      </c>
      <c r="G101" s="2"/>
      <c r="H101" s="2"/>
      <c r="I101" s="2"/>
      <c r="J101" s="2"/>
      <c r="K101" s="2" t="s">
        <v>292</v>
      </c>
      <c r="L101" s="2"/>
    </row>
    <row r="102" spans="1:12" x14ac:dyDescent="0.3">
      <c r="A102" s="2"/>
      <c r="B102" s="37" t="s">
        <v>102</v>
      </c>
      <c r="C102" s="37" t="s">
        <v>107</v>
      </c>
      <c r="D102" s="37" t="s">
        <v>293</v>
      </c>
      <c r="E102" s="37">
        <v>3.5</v>
      </c>
      <c r="F102" s="37">
        <v>225</v>
      </c>
      <c r="G102" s="2"/>
      <c r="H102" s="2"/>
      <c r="I102" s="2"/>
      <c r="J102" s="2"/>
      <c r="K102" s="2" t="s">
        <v>294</v>
      </c>
      <c r="L102" s="2"/>
    </row>
    <row r="103" spans="1:12" x14ac:dyDescent="0.3">
      <c r="A103" s="2"/>
      <c r="B103" s="37" t="s">
        <v>102</v>
      </c>
      <c r="C103" s="37" t="s">
        <v>112</v>
      </c>
      <c r="D103" s="37" t="s">
        <v>293</v>
      </c>
      <c r="E103" s="37">
        <v>3.5</v>
      </c>
      <c r="F103" s="37">
        <v>0</v>
      </c>
      <c r="G103" s="2"/>
      <c r="H103" s="2"/>
      <c r="I103" s="2"/>
      <c r="J103" s="2"/>
      <c r="K103" s="2" t="s">
        <v>295</v>
      </c>
      <c r="L103" s="2"/>
    </row>
    <row r="104" spans="1:12" x14ac:dyDescent="0.3">
      <c r="A104" s="2"/>
      <c r="B104" s="37" t="s">
        <v>102</v>
      </c>
      <c r="C104" s="37" t="s">
        <v>117</v>
      </c>
      <c r="D104" s="37" t="s">
        <v>293</v>
      </c>
      <c r="E104" s="37">
        <v>3.5</v>
      </c>
      <c r="F104" s="37">
        <v>0</v>
      </c>
      <c r="G104" s="2"/>
      <c r="H104" s="2"/>
      <c r="I104" s="2"/>
      <c r="J104" s="2"/>
      <c r="K104" s="2" t="s">
        <v>295</v>
      </c>
      <c r="L104" s="2"/>
    </row>
    <row r="105" spans="1:12" x14ac:dyDescent="0.3">
      <c r="A105" s="2"/>
      <c r="B105" s="37" t="s">
        <v>102</v>
      </c>
      <c r="C105" s="37" t="s">
        <v>107</v>
      </c>
      <c r="D105" s="37" t="s">
        <v>296</v>
      </c>
      <c r="E105" s="37">
        <v>3.5</v>
      </c>
      <c r="F105" s="37">
        <v>175</v>
      </c>
      <c r="G105" s="2"/>
      <c r="H105" s="2"/>
      <c r="I105" s="2"/>
      <c r="J105" s="2"/>
      <c r="K105" s="2" t="s">
        <v>297</v>
      </c>
      <c r="L105" s="2"/>
    </row>
    <row r="106" spans="1:12" x14ac:dyDescent="0.3">
      <c r="A106" s="2"/>
      <c r="B106" s="37" t="s">
        <v>102</v>
      </c>
      <c r="C106" s="37" t="s">
        <v>112</v>
      </c>
      <c r="D106" s="37" t="s">
        <v>296</v>
      </c>
      <c r="E106" s="37">
        <v>3.5</v>
      </c>
      <c r="F106" s="37">
        <v>0</v>
      </c>
      <c r="G106" s="2"/>
      <c r="H106" s="2"/>
      <c r="I106" s="2"/>
      <c r="J106" s="2"/>
      <c r="K106" s="2" t="s">
        <v>298</v>
      </c>
      <c r="L106" s="2"/>
    </row>
    <row r="107" spans="1:12" x14ac:dyDescent="0.3">
      <c r="A107" s="2"/>
      <c r="B107" s="37" t="s">
        <v>102</v>
      </c>
      <c r="C107" s="37" t="s">
        <v>117</v>
      </c>
      <c r="D107" s="37" t="s">
        <v>296</v>
      </c>
      <c r="E107" s="37">
        <v>3.5</v>
      </c>
      <c r="F107" s="37">
        <v>0</v>
      </c>
      <c r="G107" s="2"/>
      <c r="H107" s="2"/>
      <c r="I107" s="2"/>
      <c r="J107" s="2"/>
      <c r="K107" s="2" t="s">
        <v>298</v>
      </c>
      <c r="L107" s="2"/>
    </row>
    <row r="108" spans="1:12" x14ac:dyDescent="0.3">
      <c r="A108" s="2"/>
      <c r="B108" s="53"/>
      <c r="C108" s="53"/>
      <c r="D108" s="53"/>
      <c r="E108" s="53"/>
      <c r="F108" s="53"/>
      <c r="G108" s="2"/>
      <c r="H108" s="2"/>
      <c r="I108" s="2"/>
      <c r="J108" s="2"/>
      <c r="K108" s="2"/>
      <c r="L108" s="2"/>
    </row>
    <row r="109" spans="1:12" x14ac:dyDescent="0.3">
      <c r="A109" s="2"/>
      <c r="B109" s="47" t="s">
        <v>299</v>
      </c>
      <c r="C109" s="47" t="s">
        <v>300</v>
      </c>
      <c r="D109" s="2"/>
      <c r="E109" s="47">
        <f>SUM(E95:E107)</f>
        <v>73.5</v>
      </c>
      <c r="F109" s="47">
        <f>SUM(F95:F107)</f>
        <v>3935</v>
      </c>
      <c r="G109" s="2"/>
      <c r="H109" s="2"/>
      <c r="I109" s="2"/>
      <c r="J109" s="2"/>
      <c r="K109" s="54" t="s">
        <v>301</v>
      </c>
      <c r="L109" s="2"/>
    </row>
    <row r="110" spans="1:12" x14ac:dyDescent="0.3">
      <c r="B110" s="55" t="s">
        <v>302</v>
      </c>
      <c r="E110" s="56">
        <v>52.5</v>
      </c>
      <c r="K110" s="54" t="s">
        <v>303</v>
      </c>
    </row>
  </sheetData>
  <mergeCells count="11">
    <mergeCell ref="B1:K1"/>
    <mergeCell ref="B2:K2"/>
    <mergeCell ref="B3:K3"/>
    <mergeCell ref="B4:K4"/>
    <mergeCell ref="C8:J8"/>
    <mergeCell ref="C14:J14"/>
    <mergeCell ref="C9:J9"/>
    <mergeCell ref="C10:J10"/>
    <mergeCell ref="C11:J11"/>
    <mergeCell ref="C12:J12"/>
    <mergeCell ref="C13:J13"/>
  </mergeCells>
  <dataValidations count="9">
    <dataValidation type="list" allowBlank="1" error="Sélectionner un collaborateur de la section B" sqref="C53:C72" xr:uid="{00000000-0002-0000-0100-000000000000}">
      <formula1>$C$20:$C$29</formula1>
      <formula2>0</formula2>
    </dataValidation>
    <dataValidation type="list" allowBlank="1" sqref="I53:I72" xr:uid="{00000000-0002-0000-0100-000001000000}">
      <formula1>"Oui,Non"</formula1>
      <formula2>0</formula2>
    </dataValidation>
    <dataValidation type="list" allowBlank="1" sqref="H33:H48" xr:uid="{00000000-0002-0000-0100-000002000000}">
      <formula1>"Standard,Stratégique,CRITIQUE"</formula1>
      <formula2>0</formula2>
    </dataValidation>
    <dataValidation type="list" allowBlank="1" sqref="I33:J48" xr:uid="{00000000-0002-0000-0100-000003000000}">
      <formula1>"1,2,3"</formula1>
      <formula2>0</formula2>
    </dataValidation>
    <dataValidation type="whole" allowBlank="1" error="Score entre 1 et 5" sqref="C33:F48" xr:uid="{00000000-0002-0000-0100-000004000000}">
      <formula1>1</formula1>
      <formula2>5</formula2>
    </dataValidation>
    <dataValidation type="whole" allowBlank="1" sqref="G33:G48" xr:uid="{00000000-0002-0000-0100-000005000000}">
      <formula1>1</formula1>
      <formula2>5</formula2>
    </dataValidation>
    <dataValidation type="list" allowBlank="1" showErrorMessage="1" errorTitle="Collaborateur invalide" error="Sélectionner un collaborateur de la section B ou « Équipe »." sqref="C77:C89" xr:uid="{00000000-0002-0000-0100-000006000000}">
      <formula1>$C$20:$C$30</formula1>
      <formula2>0</formula2>
    </dataValidation>
    <dataValidation type="list" allowBlank="1" showErrorMessage="1" errorTitle="Collaborateur invalide" error="Sélectionner un collaborateur de la section B." sqref="B95:C107" xr:uid="{00000000-0002-0000-0100-000007000000}">
      <formula1>$C$20:$C$29</formula1>
      <formula2>0</formula2>
    </dataValidation>
    <dataValidation type="list" allowBlank="1" sqref="J77:J89" xr:uid="{00000000-0002-0000-0100-000008000000}">
      <formula1>"Juil.,Août,Sept.,Oct.,Nov.,Déc."</formula1>
      <formula2>0</formula2>
    </dataValidation>
  </dataValidations>
  <pageMargins left="0.4" right="0.4" top="0.5" bottom="0.5" header="0.5" footer="0.5"/>
  <pageSetup paperSize="9" fitToHeight="0" orientation="landscape" horizontalDpi="300" verticalDpi="300"/>
  <headerFooter>
    <oddHeader>&amp;CANNEXE 22 — Saisie des données</oddHeader>
    <oddFooter>&amp;CPage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70"/>
  <sheetViews>
    <sheetView showGridLines="0" zoomScale="85" zoomScaleNormal="85" workbookViewId="0">
      <pane xSplit="1" ySplit="5" topLeftCell="B6" activePane="bottomRight" state="frozen"/>
      <selection pane="topRight" activeCell="B1" sqref="B1"/>
      <selection pane="bottomLeft" activeCell="A6" sqref="A6"/>
      <selection pane="bottomRight" activeCell="B2" sqref="B2:I2"/>
    </sheetView>
  </sheetViews>
  <sheetFormatPr baseColWidth="10" defaultColWidth="8.6640625" defaultRowHeight="14.4" x14ac:dyDescent="0.3"/>
  <cols>
    <col min="1" max="1" width="3" style="57" customWidth="1"/>
    <col min="2" max="2" width="28" style="57" customWidth="1"/>
    <col min="3" max="3" width="16" style="57" customWidth="1"/>
    <col min="4" max="6" width="14" style="57" customWidth="1"/>
    <col min="7" max="7" width="18" style="57" customWidth="1"/>
    <col min="8" max="8" width="28" style="57" customWidth="1"/>
    <col min="9" max="10" width="14" style="57" customWidth="1"/>
    <col min="11" max="11" width="12" style="57" customWidth="1"/>
    <col min="12" max="16384" width="8.6640625" style="57"/>
  </cols>
  <sheetData>
    <row r="1" spans="1:11" x14ac:dyDescent="0.3">
      <c r="A1" s="58"/>
      <c r="B1" s="58"/>
      <c r="C1" s="58"/>
      <c r="D1" s="58"/>
      <c r="E1" s="58"/>
      <c r="F1" s="58"/>
      <c r="G1" s="58"/>
      <c r="H1" s="58"/>
      <c r="I1" s="58"/>
      <c r="J1" s="58"/>
      <c r="K1" s="58"/>
    </row>
    <row r="2" spans="1:11" ht="17.25" customHeight="1" x14ac:dyDescent="0.3">
      <c r="A2" s="58"/>
      <c r="B2" s="180" t="s">
        <v>304</v>
      </c>
      <c r="C2" s="180"/>
      <c r="D2" s="180"/>
      <c r="E2" s="180"/>
      <c r="F2" s="180"/>
      <c r="G2" s="180"/>
      <c r="H2" s="180"/>
      <c r="I2" s="180"/>
      <c r="J2" s="58"/>
      <c r="K2" s="58"/>
    </row>
    <row r="3" spans="1:11" ht="14.25" customHeight="1" x14ac:dyDescent="0.3">
      <c r="A3" s="58"/>
      <c r="B3" s="187" t="s">
        <v>305</v>
      </c>
      <c r="C3" s="187"/>
      <c r="D3" s="187"/>
      <c r="E3" s="187"/>
      <c r="F3" s="187"/>
      <c r="G3" s="187"/>
      <c r="H3" s="187"/>
      <c r="I3" s="187"/>
      <c r="J3" s="58"/>
      <c r="K3" s="58"/>
    </row>
    <row r="4" spans="1:11" x14ac:dyDescent="0.3">
      <c r="A4" s="58"/>
      <c r="B4" s="58"/>
      <c r="C4" s="58"/>
      <c r="D4" s="58"/>
      <c r="E4" s="58"/>
      <c r="F4" s="58"/>
      <c r="G4" s="58"/>
      <c r="H4" s="58"/>
      <c r="I4" s="58"/>
      <c r="J4" s="58"/>
      <c r="K4" s="58"/>
    </row>
    <row r="5" spans="1:11" x14ac:dyDescent="0.3">
      <c r="A5" s="58"/>
      <c r="B5" s="19" t="s">
        <v>306</v>
      </c>
      <c r="C5" s="58"/>
      <c r="D5" s="58"/>
      <c r="E5" s="58"/>
      <c r="F5" s="58"/>
      <c r="G5" s="58"/>
      <c r="H5" s="58"/>
      <c r="I5" s="58"/>
      <c r="J5" s="58"/>
      <c r="K5" s="58"/>
    </row>
    <row r="6" spans="1:11" ht="26.25" customHeight="1" x14ac:dyDescent="0.3">
      <c r="A6" s="58"/>
      <c r="B6" s="16" t="s">
        <v>307</v>
      </c>
      <c r="C6" s="16"/>
      <c r="D6" s="16" t="s">
        <v>308</v>
      </c>
      <c r="E6" s="16"/>
      <c r="F6" s="16" t="s">
        <v>309</v>
      </c>
      <c r="G6" s="16"/>
      <c r="H6" s="16" t="s">
        <v>89</v>
      </c>
      <c r="I6" s="58"/>
      <c r="J6" s="58"/>
      <c r="K6" s="58"/>
    </row>
    <row r="7" spans="1:11" ht="17.25" customHeight="1" x14ac:dyDescent="0.3">
      <c r="A7" s="58"/>
      <c r="B7" s="59">
        <f>SAISIE!E16</f>
        <v>3.8</v>
      </c>
      <c r="C7" s="59"/>
      <c r="D7" s="59" t="str">
        <f>COUNTIF(G13:G22,"✅*")&amp;" / "&amp;COUNTIF(B13:B22,"?*")</f>
        <v>0 / 4</v>
      </c>
      <c r="E7" s="59"/>
      <c r="F7" s="59">
        <f>ABS(SUMIF(F13:F22,"&lt;0"))</f>
        <v>170</v>
      </c>
      <c r="G7" s="59"/>
      <c r="H7" s="59" t="str">
        <f>"≈ "&amp;SAISIE!G16&amp;" €/h"</f>
        <v>≈ 52 €/h</v>
      </c>
      <c r="I7" s="58"/>
      <c r="J7" s="58"/>
      <c r="K7" s="58"/>
    </row>
    <row r="8" spans="1:11" x14ac:dyDescent="0.3">
      <c r="A8" s="58"/>
      <c r="B8" s="58"/>
      <c r="C8" s="58"/>
      <c r="D8" s="58"/>
      <c r="E8" s="58"/>
      <c r="F8" s="58"/>
      <c r="G8" s="58"/>
      <c r="H8" s="58"/>
      <c r="I8" s="58"/>
      <c r="J8" s="58"/>
      <c r="K8" s="58"/>
    </row>
    <row r="9" spans="1:11" x14ac:dyDescent="0.3">
      <c r="A9" s="58"/>
      <c r="B9" s="58"/>
      <c r="C9" s="58"/>
      <c r="D9" s="58"/>
      <c r="E9" s="58"/>
      <c r="F9" s="58"/>
      <c r="G9" s="58"/>
      <c r="H9" s="58"/>
      <c r="I9" s="58"/>
      <c r="J9" s="58"/>
      <c r="K9" s="58"/>
    </row>
    <row r="10" spans="1:11" ht="54.75" customHeight="1" x14ac:dyDescent="0.3">
      <c r="A10" s="58"/>
      <c r="B10" s="19" t="s">
        <v>310</v>
      </c>
      <c r="C10" s="58"/>
      <c r="D10" s="58"/>
      <c r="E10" s="58"/>
      <c r="F10" s="58"/>
      <c r="G10" s="58"/>
      <c r="H10" s="58"/>
      <c r="I10" s="58"/>
      <c r="J10" s="58"/>
      <c r="K10" s="58"/>
    </row>
    <row r="11" spans="1:11" ht="14.25" customHeight="1" x14ac:dyDescent="0.3">
      <c r="A11" s="58"/>
      <c r="B11" s="188" t="s">
        <v>311</v>
      </c>
      <c r="C11" s="188"/>
      <c r="D11" s="188"/>
      <c r="E11" s="188"/>
      <c r="F11" s="188"/>
      <c r="G11" s="188"/>
      <c r="H11" s="188"/>
      <c r="I11" s="188"/>
      <c r="J11" s="58"/>
      <c r="K11" s="58"/>
    </row>
    <row r="12" spans="1:11" x14ac:dyDescent="0.3">
      <c r="A12" s="58"/>
      <c r="B12" s="16" t="s">
        <v>312</v>
      </c>
      <c r="C12" s="16" t="s">
        <v>94</v>
      </c>
      <c r="D12" s="16" t="s">
        <v>313</v>
      </c>
      <c r="E12" s="16" t="s">
        <v>314</v>
      </c>
      <c r="F12" s="16" t="s">
        <v>315</v>
      </c>
      <c r="G12" s="16" t="s">
        <v>316</v>
      </c>
      <c r="H12" s="16" t="s">
        <v>317</v>
      </c>
      <c r="I12" s="58"/>
      <c r="J12" s="58"/>
      <c r="K12" s="58"/>
    </row>
    <row r="13" spans="1:11" x14ac:dyDescent="0.3">
      <c r="A13" s="58"/>
      <c r="B13" s="60" t="str">
        <f>IF(SAISIE!C20="","",LEFT(SAISIE!B20,1)&amp;". "&amp;SAISIE!C20)</f>
        <v>M. Dupré</v>
      </c>
      <c r="C13" s="60" t="str">
        <f>IF(SAISIE!C20="","",SAISIE!D20)</f>
        <v>Expert-comptable</v>
      </c>
      <c r="D13" s="61">
        <f>IF(SAISIE!C20="","",SAISIE!H20+SAISIE!I20+SAISIE!J20)</f>
        <v>86.5</v>
      </c>
      <c r="E13" s="61">
        <f>IF(SAISIE!C20="","",SAISIE!G20)</f>
        <v>120</v>
      </c>
      <c r="F13" s="61">
        <f>IF(SAISIE!C20="","",D13-E13)</f>
        <v>-33.5</v>
      </c>
      <c r="G13" s="62" t="str">
        <f>IF(SAISIE!C20="","",IF(F13&gt;=0,"✅ Conforme",IF(F13&gt;=-5,"🟠 Vigilance","🔴 Non conforme")))</f>
        <v>🔴 Non conforme</v>
      </c>
      <c r="H13" s="60" t="str">
        <f>IF(SAISIE!C20="","",IF(F13&gt;=0,"—","Planifier "&amp;TEXT(ABS(F13),"0.#")&amp;"h avant 31/12/2026"))</f>
        <v>Planifier 3.4h avant 31/12/2026</v>
      </c>
      <c r="I13" s="58"/>
      <c r="J13" s="58"/>
      <c r="K13" s="58"/>
    </row>
    <row r="14" spans="1:11" x14ac:dyDescent="0.3">
      <c r="A14" s="58"/>
      <c r="B14" s="63" t="str">
        <f>IF(SAISIE!C21="","",LEFT(SAISIE!B21,1)&amp;". "&amp;SAISIE!C21)</f>
        <v>L. Martin</v>
      </c>
      <c r="C14" s="63" t="str">
        <f>IF(SAISIE!C21="","",SAISIE!D21)</f>
        <v>Apprenti</v>
      </c>
      <c r="D14" s="64">
        <f>IF(SAISIE!C21="","",SAISIE!H21+SAISIE!I21+SAISIE!J21)</f>
        <v>17.5</v>
      </c>
      <c r="E14" s="64">
        <f>IF(SAISIE!C21="","",SAISIE!G21)</f>
        <v>40</v>
      </c>
      <c r="F14" s="64">
        <f>IF(SAISIE!C21="","",D14-E14)</f>
        <v>-22.5</v>
      </c>
      <c r="G14" s="62" t="str">
        <f>IF(SAISIE!C21="","",IF(F14&gt;=0,"✅ Conforme",IF(F14&gt;=-5,"🟠 Vigilance","🔴 Non conforme")))</f>
        <v>🔴 Non conforme</v>
      </c>
      <c r="H14" s="63" t="str">
        <f>IF(SAISIE!C21="","",IF(F14&gt;=0,"—","Planifier "&amp;TEXT(ABS(F14),"0.#")&amp;"h avant 31/12/2026"))</f>
        <v>Planifier 2.3h avant 31/12/2026</v>
      </c>
      <c r="I14" s="58"/>
      <c r="J14" s="58"/>
      <c r="K14" s="58"/>
    </row>
    <row r="15" spans="1:11" x14ac:dyDescent="0.3">
      <c r="A15" s="58"/>
      <c r="B15" s="60" t="str">
        <f>IF(SAISIE!C22="","",LEFT(SAISIE!B22,1)&amp;". "&amp;SAISIE!C22)</f>
        <v>M. Lambert</v>
      </c>
      <c r="C15" s="60" t="str">
        <f>IF(SAISIE!C22="","",SAISIE!D22)</f>
        <v>Confirmée (5 ans)</v>
      </c>
      <c r="D15" s="61">
        <f>IF(SAISIE!C22="","",SAISIE!H22+SAISIE!I22+SAISIE!J22)</f>
        <v>77</v>
      </c>
      <c r="E15" s="61">
        <f>IF(SAISIE!C22="","",SAISIE!G22)</f>
        <v>120</v>
      </c>
      <c r="F15" s="61">
        <f>IF(SAISIE!C22="","",D15-E15)</f>
        <v>-43</v>
      </c>
      <c r="G15" s="62" t="str">
        <f>IF(SAISIE!C22="","",IF(F15&gt;=0,"✅ Conforme",IF(F15&gt;=-5,"🟠 Vigilance","🔴 Non conforme")))</f>
        <v>🔴 Non conforme</v>
      </c>
      <c r="H15" s="60" t="str">
        <f>IF(SAISIE!C22="","",IF(F15&gt;=0,"—","Planifier "&amp;TEXT(ABS(F15),"0.#")&amp;"h avant 31/12/2026"))</f>
        <v>Planifier 4.3h avant 31/12/2026</v>
      </c>
      <c r="I15" s="58"/>
      <c r="J15" s="58"/>
      <c r="K15" s="58"/>
    </row>
    <row r="16" spans="1:11" x14ac:dyDescent="0.3">
      <c r="A16" s="58"/>
      <c r="B16" s="63" t="str">
        <f>IF(SAISIE!C23="","",LEFT(SAISIE!B23,1)&amp;". "&amp;SAISIE!C23)</f>
        <v>T. Renaud</v>
      </c>
      <c r="C16" s="63" t="str">
        <f>IF(SAISIE!C23="","",SAISIE!D23)</f>
        <v>Junior (1 an)</v>
      </c>
      <c r="D16" s="64">
        <f>IF(SAISIE!C23="","",SAISIE!H23+SAISIE!I23+SAISIE!J23)</f>
        <v>49</v>
      </c>
      <c r="E16" s="64">
        <f>IF(SAISIE!C23="","",SAISIE!G23)</f>
        <v>120</v>
      </c>
      <c r="F16" s="64">
        <f>IF(SAISIE!C23="","",D16-E16)</f>
        <v>-71</v>
      </c>
      <c r="G16" s="62" t="str">
        <f>IF(SAISIE!C23="","",IF(F16&gt;=0,"✅ Conforme",IF(F16&gt;=-5,"🟠 Vigilance","🔴 Non conforme")))</f>
        <v>🔴 Non conforme</v>
      </c>
      <c r="H16" s="63" t="str">
        <f>IF(SAISIE!C23="","",IF(F16&gt;=0,"—","Planifier "&amp;TEXT(ABS(F16),"0.#")&amp;"h avant 31/12/2026"))</f>
        <v>Planifier 7.1h avant 31/12/2026</v>
      </c>
      <c r="I16" s="58"/>
      <c r="J16" s="58"/>
      <c r="K16" s="58"/>
    </row>
    <row r="17" spans="1:11" x14ac:dyDescent="0.3">
      <c r="A17" s="58"/>
      <c r="B17" s="65" t="str">
        <f>IF(SAISIE!C24="","",LEFT(SAISIE!B24,1)&amp;". "&amp;SAISIE!C24)</f>
        <v/>
      </c>
      <c r="C17" s="65" t="str">
        <f>IF(SAISIE!C24="","",SAISIE!D24)</f>
        <v/>
      </c>
      <c r="D17" s="65" t="str">
        <f>IF(SAISIE!C24="","",SAISIE!H24+SAISIE!I24+SAISIE!J24)</f>
        <v/>
      </c>
      <c r="E17" s="65" t="str">
        <f>IF(SAISIE!C24="","",SAISIE!G24)</f>
        <v/>
      </c>
      <c r="F17" s="65" t="str">
        <f>IF(SAISIE!C24="","",D17-E17)</f>
        <v/>
      </c>
      <c r="G17" s="65" t="str">
        <f>IF(SAISIE!C24="","",IF(F17&gt;=0,"✅ Conforme",IF(F17&gt;=-5,"🟠 Vigilance","🔴 Non conforme")))</f>
        <v/>
      </c>
      <c r="H17" s="30" t="str">
        <f>IF(SAISIE!C24="","",IF(F17&gt;=0,"—","Planifier "&amp;TEXT(ABS(F17),"0.#")&amp;"h avant 31/12/2026"))</f>
        <v/>
      </c>
      <c r="I17" s="58"/>
      <c r="J17" s="58"/>
      <c r="K17" s="58"/>
    </row>
    <row r="18" spans="1:11" x14ac:dyDescent="0.3">
      <c r="A18" s="58"/>
      <c r="B18" s="22" t="str">
        <f>IF(SAISIE!C25="","",LEFT(SAISIE!B25,1)&amp;". "&amp;SAISIE!C25)</f>
        <v/>
      </c>
      <c r="C18" s="22" t="str">
        <f>IF(SAISIE!C25="","",SAISIE!D25)</f>
        <v/>
      </c>
      <c r="D18" s="22" t="str">
        <f>IF(SAISIE!C25="","",SAISIE!H25+SAISIE!I25+SAISIE!J25)</f>
        <v/>
      </c>
      <c r="E18" s="22" t="str">
        <f>IF(SAISIE!C25="","",SAISIE!G25)</f>
        <v/>
      </c>
      <c r="F18" s="22" t="str">
        <f>IF(SAISIE!C25="","",D18-E18)</f>
        <v/>
      </c>
      <c r="G18" s="22" t="str">
        <f>IF(SAISIE!C25="","",IF(F18&gt;=0,"✅ Conforme",IF(F18&gt;=-5,"🟠 Vigilance","🔴 Non conforme")))</f>
        <v/>
      </c>
      <c r="H18" s="66" t="str">
        <f>IF(SAISIE!C25="","",IF(F18&gt;=0,"—","Planifier "&amp;TEXT(ABS(F18),"0.#")&amp;"h avant 31/12/2026"))</f>
        <v/>
      </c>
      <c r="I18" s="58"/>
      <c r="J18" s="58"/>
      <c r="K18" s="58"/>
    </row>
    <row r="19" spans="1:11" x14ac:dyDescent="0.3">
      <c r="A19" s="58"/>
      <c r="B19" s="65" t="str">
        <f>IF(SAISIE!C26="","",LEFT(SAISIE!B26,1)&amp;". "&amp;SAISIE!C26)</f>
        <v/>
      </c>
      <c r="C19" s="65" t="str">
        <f>IF(SAISIE!C26="","",SAISIE!D26)</f>
        <v/>
      </c>
      <c r="D19" s="65" t="str">
        <f>IF(SAISIE!C26="","",SAISIE!H26+SAISIE!I26+SAISIE!J26)</f>
        <v/>
      </c>
      <c r="E19" s="65" t="str">
        <f>IF(SAISIE!C26="","",SAISIE!G26)</f>
        <v/>
      </c>
      <c r="F19" s="65" t="str">
        <f>IF(SAISIE!C26="","",D19-E19)</f>
        <v/>
      </c>
      <c r="G19" s="65" t="str">
        <f>IF(SAISIE!C26="","",IF(F19&gt;=0,"✅ Conforme",IF(F19&gt;=-5,"🟠 Vigilance","🔴 Non conforme")))</f>
        <v/>
      </c>
      <c r="H19" s="30" t="str">
        <f>IF(SAISIE!C26="","",IF(F19&gt;=0,"—","Planifier "&amp;TEXT(ABS(F19),"0.#")&amp;"h avant 31/12/2026"))</f>
        <v/>
      </c>
      <c r="I19" s="58"/>
      <c r="J19" s="58"/>
      <c r="K19" s="58"/>
    </row>
    <row r="20" spans="1:11" x14ac:dyDescent="0.3">
      <c r="A20" s="58"/>
      <c r="B20" s="22" t="str">
        <f>IF(SAISIE!C27="","",LEFT(SAISIE!B27,1)&amp;". "&amp;SAISIE!C27)</f>
        <v/>
      </c>
      <c r="C20" s="22" t="str">
        <f>IF(SAISIE!C27="","",SAISIE!D27)</f>
        <v/>
      </c>
      <c r="D20" s="22" t="str">
        <f>IF(SAISIE!C27="","",SAISIE!H27+SAISIE!I27+SAISIE!J27)</f>
        <v/>
      </c>
      <c r="E20" s="22" t="str">
        <f>IF(SAISIE!C27="","",SAISIE!G27)</f>
        <v/>
      </c>
      <c r="F20" s="22" t="str">
        <f>IF(SAISIE!C27="","",D20-E20)</f>
        <v/>
      </c>
      <c r="G20" s="22" t="str">
        <f>IF(SAISIE!C27="","",IF(F20&gt;=0,"✅ Conforme",IF(F20&gt;=-5,"🟠 Vigilance","🔴 Non conforme")))</f>
        <v/>
      </c>
      <c r="H20" s="66" t="str">
        <f>IF(SAISIE!C27="","",IF(F20&gt;=0,"—","Planifier "&amp;TEXT(ABS(F20),"0.#")&amp;"h avant 31/12/2026"))</f>
        <v/>
      </c>
      <c r="I20" s="58"/>
      <c r="J20" s="58"/>
      <c r="K20" s="58"/>
    </row>
    <row r="21" spans="1:11" x14ac:dyDescent="0.3">
      <c r="A21" s="58"/>
      <c r="B21" s="65" t="str">
        <f>IF(SAISIE!C28="","",LEFT(SAISIE!B28,1)&amp;". "&amp;SAISIE!C28)</f>
        <v/>
      </c>
      <c r="C21" s="65" t="str">
        <f>IF(SAISIE!C28="","",SAISIE!D28)</f>
        <v/>
      </c>
      <c r="D21" s="65" t="str">
        <f>IF(SAISIE!C28="","",SAISIE!H28+SAISIE!I28+SAISIE!J28)</f>
        <v/>
      </c>
      <c r="E21" s="65" t="str">
        <f>IF(SAISIE!C28="","",SAISIE!G28)</f>
        <v/>
      </c>
      <c r="F21" s="65" t="str">
        <f>IF(SAISIE!C28="","",D21-E21)</f>
        <v/>
      </c>
      <c r="G21" s="65" t="str">
        <f>IF(SAISIE!C28="","",IF(F21&gt;=0,"✅ Conforme",IF(F21&gt;=-5,"🟠 Vigilance","🔴 Non conforme")))</f>
        <v/>
      </c>
      <c r="H21" s="30" t="str">
        <f>IF(SAISIE!C28="","",IF(F21&gt;=0,"—","Planifier "&amp;TEXT(ABS(F21),"0.#")&amp;"h avant 31/12/2026"))</f>
        <v/>
      </c>
      <c r="I21" s="58"/>
      <c r="J21" s="58"/>
      <c r="K21" s="58"/>
    </row>
    <row r="22" spans="1:11" x14ac:dyDescent="0.3">
      <c r="A22" s="58"/>
      <c r="B22" s="22" t="str">
        <f>IF(SAISIE!C29="","",LEFT(SAISIE!B29,1)&amp;". "&amp;SAISIE!C29)</f>
        <v/>
      </c>
      <c r="C22" s="22" t="str">
        <f>IF(SAISIE!C29="","",SAISIE!D29)</f>
        <v/>
      </c>
      <c r="D22" s="22" t="str">
        <f>IF(SAISIE!C29="","",SAISIE!H29+SAISIE!I29+SAISIE!J29)</f>
        <v/>
      </c>
      <c r="E22" s="22" t="str">
        <f>IF(SAISIE!C29="","",SAISIE!G29)</f>
        <v/>
      </c>
      <c r="F22" s="22" t="str">
        <f>IF(SAISIE!C29="","",D22-E22)</f>
        <v/>
      </c>
      <c r="G22" s="22" t="str">
        <f>IF(SAISIE!C29="","",IF(F22&gt;=0,"✅ Conforme",IF(F22&gt;=-5,"🟠 Vigilance","🔴 Non conforme")))</f>
        <v/>
      </c>
      <c r="H22" s="66" t="str">
        <f>IF(SAISIE!C29="","",IF(F22&gt;=0,"—","Planifier "&amp;TEXT(ABS(F22),"0.#")&amp;"h avant 31/12/2026"))</f>
        <v/>
      </c>
      <c r="I22" s="58"/>
      <c r="J22" s="58"/>
      <c r="K22" s="58"/>
    </row>
    <row r="23" spans="1:11" ht="21.75" customHeight="1" x14ac:dyDescent="0.3">
      <c r="A23" s="58"/>
      <c r="B23" s="189" t="s">
        <v>318</v>
      </c>
      <c r="C23" s="189"/>
      <c r="D23" s="189"/>
      <c r="E23" s="189"/>
      <c r="F23" s="189"/>
      <c r="G23" s="189"/>
      <c r="H23" s="189"/>
      <c r="I23" s="58"/>
      <c r="J23" s="58"/>
      <c r="K23" s="58"/>
    </row>
    <row r="24" spans="1:11" x14ac:dyDescent="0.3">
      <c r="A24" s="58"/>
      <c r="B24" s="58"/>
      <c r="C24" s="58"/>
      <c r="D24" s="58"/>
      <c r="E24" s="58"/>
      <c r="F24" s="58"/>
      <c r="G24" s="58"/>
      <c r="H24" s="58"/>
      <c r="I24" s="58"/>
      <c r="J24" s="58"/>
      <c r="K24" s="58"/>
    </row>
    <row r="25" spans="1:11" ht="41.25" customHeight="1" x14ac:dyDescent="0.3">
      <c r="A25" s="58"/>
      <c r="B25" s="19" t="s">
        <v>319</v>
      </c>
      <c r="C25" s="58"/>
      <c r="D25" s="58"/>
      <c r="E25" s="58"/>
      <c r="F25" s="58"/>
      <c r="G25" s="58"/>
      <c r="H25" s="58"/>
      <c r="I25" s="58"/>
      <c r="J25" s="67" t="s">
        <v>320</v>
      </c>
      <c r="K25" s="67" t="s">
        <v>125</v>
      </c>
    </row>
    <row r="26" spans="1:11" x14ac:dyDescent="0.3">
      <c r="A26" s="58"/>
      <c r="B26" s="16" t="s">
        <v>124</v>
      </c>
      <c r="C26" s="16" t="str">
        <f>IF(SAISIE!C20="","",LEFT(SAISIE!B20,1)&amp;". "&amp;SAISIE!C20)</f>
        <v>M. Dupré</v>
      </c>
      <c r="D26" s="16" t="str">
        <f>IF(SAISIE!C21="","",LEFT(SAISIE!B21,1)&amp;". "&amp;SAISIE!C21)</f>
        <v>L. Martin</v>
      </c>
      <c r="E26" s="16" t="str">
        <f>IF(SAISIE!C22="","",LEFT(SAISIE!B22,1)&amp;". "&amp;SAISIE!C22)</f>
        <v>M. Lambert</v>
      </c>
      <c r="F26" s="16" t="str">
        <f>IF(SAISIE!C23="","",LEFT(SAISIE!B23,1)&amp;". "&amp;SAISIE!C23)</f>
        <v>T. Renaud</v>
      </c>
      <c r="G26" s="16" t="s">
        <v>125</v>
      </c>
      <c r="H26" s="16" t="s">
        <v>321</v>
      </c>
      <c r="I26" s="16" t="s">
        <v>322</v>
      </c>
      <c r="J26" s="68"/>
      <c r="K26" s="68"/>
    </row>
    <row r="27" spans="1:11" x14ac:dyDescent="0.3">
      <c r="A27" s="58"/>
      <c r="B27" s="60" t="str">
        <f>SAISIE!B33</f>
        <v>Comptabilité générale</v>
      </c>
      <c r="C27" s="61">
        <f>SAISIE!C33</f>
        <v>4</v>
      </c>
      <c r="D27" s="61">
        <f>SAISIE!D33</f>
        <v>1</v>
      </c>
      <c r="E27" s="61">
        <f>SAISIE!E33</f>
        <v>4</v>
      </c>
      <c r="F27" s="61">
        <f>SAISIE!F33</f>
        <v>2</v>
      </c>
      <c r="G27" s="61">
        <f>SAISIE!G33</f>
        <v>4</v>
      </c>
      <c r="H27" s="69">
        <f t="shared" ref="H27:H42" si="0">AVERAGE(C27:F27)-G27</f>
        <v>-1.25</v>
      </c>
      <c r="I27" s="70">
        <f>IF(H27&gt;=0,0,SAISIE!I33*ABS(H27)*SAISIE!J33+(16-ROW()+27)/10000)</f>
        <v>1.2516</v>
      </c>
      <c r="J27" s="71">
        <f t="shared" ref="J27:J42" si="1">AVERAGE(C27:F27)</f>
        <v>2.75</v>
      </c>
      <c r="K27" s="72">
        <f t="shared" ref="K27:K42" si="2">G27</f>
        <v>4</v>
      </c>
    </row>
    <row r="28" spans="1:11" x14ac:dyDescent="0.3">
      <c r="A28" s="58"/>
      <c r="B28" s="63" t="str">
        <f>SAISIE!B34</f>
        <v>TVA &amp; Fiscalité</v>
      </c>
      <c r="C28" s="64">
        <f>SAISIE!C34</f>
        <v>4</v>
      </c>
      <c r="D28" s="64">
        <f>SAISIE!D34</f>
        <v>1</v>
      </c>
      <c r="E28" s="64">
        <f>SAISIE!E34</f>
        <v>4</v>
      </c>
      <c r="F28" s="64">
        <f>SAISIE!F34</f>
        <v>2</v>
      </c>
      <c r="G28" s="64">
        <f>SAISIE!G34</f>
        <v>4</v>
      </c>
      <c r="H28" s="73">
        <f t="shared" si="0"/>
        <v>-1.25</v>
      </c>
      <c r="I28" s="74">
        <f>IF(H28&gt;=0,0,SAISIE!I34*ABS(H28)*SAISIE!J34+(16-ROW()+27)/10000)</f>
        <v>1.2515000000000001</v>
      </c>
      <c r="J28" s="71">
        <f t="shared" si="1"/>
        <v>2.75</v>
      </c>
      <c r="K28" s="72">
        <f t="shared" si="2"/>
        <v>4</v>
      </c>
    </row>
    <row r="29" spans="1:11" x14ac:dyDescent="0.3">
      <c r="A29" s="58"/>
      <c r="B29" s="60" t="str">
        <f>SAISIE!B35</f>
        <v>Paie &amp; Social</v>
      </c>
      <c r="C29" s="61">
        <f>SAISIE!C35</f>
        <v>4</v>
      </c>
      <c r="D29" s="61">
        <f>SAISIE!D35</f>
        <v>1</v>
      </c>
      <c r="E29" s="61">
        <f>SAISIE!E35</f>
        <v>3</v>
      </c>
      <c r="F29" s="61">
        <f>SAISIE!F35</f>
        <v>2</v>
      </c>
      <c r="G29" s="61">
        <f>SAISIE!G35</f>
        <v>3</v>
      </c>
      <c r="H29" s="69">
        <f t="shared" si="0"/>
        <v>-0.5</v>
      </c>
      <c r="I29" s="70">
        <f>IF(H29&gt;=0,0,SAISIE!I35*ABS(H29)*SAISIE!J35+(16-ROW()+27)/10000)</f>
        <v>0.50139999999999996</v>
      </c>
      <c r="J29" s="71">
        <f t="shared" si="1"/>
        <v>2.5</v>
      </c>
      <c r="K29" s="72">
        <f t="shared" si="2"/>
        <v>3</v>
      </c>
    </row>
    <row r="30" spans="1:11" x14ac:dyDescent="0.3">
      <c r="A30" s="58"/>
      <c r="B30" s="63" t="str">
        <f>SAISIE!B36</f>
        <v>Comptes annuels</v>
      </c>
      <c r="C30" s="64">
        <f>SAISIE!C36</f>
        <v>4</v>
      </c>
      <c r="D30" s="64">
        <f>SAISIE!D36</f>
        <v>1</v>
      </c>
      <c r="E30" s="64">
        <f>SAISIE!E36</f>
        <v>4</v>
      </c>
      <c r="F30" s="64">
        <f>SAISIE!F36</f>
        <v>2</v>
      </c>
      <c r="G30" s="64">
        <f>SAISIE!G36</f>
        <v>4</v>
      </c>
      <c r="H30" s="73">
        <f t="shared" si="0"/>
        <v>-1.25</v>
      </c>
      <c r="I30" s="74">
        <f>IF(H30&gt;=0,0,SAISIE!I36*ABS(H30)*SAISIE!J36+(16-ROW()+27)/10000)</f>
        <v>1.2513000000000001</v>
      </c>
      <c r="J30" s="71">
        <f t="shared" si="1"/>
        <v>2.75</v>
      </c>
      <c r="K30" s="72">
        <f t="shared" si="2"/>
        <v>4</v>
      </c>
    </row>
    <row r="31" spans="1:11" x14ac:dyDescent="0.3">
      <c r="A31" s="58"/>
      <c r="B31" s="60" t="str">
        <f>SAISIE!B37</f>
        <v>Révision</v>
      </c>
      <c r="C31" s="61">
        <f>SAISIE!C37</f>
        <v>4</v>
      </c>
      <c r="D31" s="61">
        <f>SAISIE!D37</f>
        <v>1</v>
      </c>
      <c r="E31" s="61">
        <f>SAISIE!E37</f>
        <v>4</v>
      </c>
      <c r="F31" s="61">
        <f>SAISIE!F37</f>
        <v>2</v>
      </c>
      <c r="G31" s="61">
        <f>SAISIE!G37</f>
        <v>3</v>
      </c>
      <c r="H31" s="69">
        <f t="shared" si="0"/>
        <v>-0.25</v>
      </c>
      <c r="I31" s="70">
        <f>IF(H31&gt;=0,0,SAISIE!I37*ABS(H31)*SAISIE!J37+(16-ROW()+27)/10000)</f>
        <v>0.25119999999999998</v>
      </c>
      <c r="J31" s="71">
        <f t="shared" si="1"/>
        <v>2.75</v>
      </c>
      <c r="K31" s="72">
        <f t="shared" si="2"/>
        <v>3</v>
      </c>
    </row>
    <row r="32" spans="1:11" x14ac:dyDescent="0.3">
      <c r="A32" s="58"/>
      <c r="B32" s="63" t="str">
        <f>SAISIE!B38</f>
        <v>Facture électronique (PA)</v>
      </c>
      <c r="C32" s="64">
        <f>SAISIE!C38</f>
        <v>3</v>
      </c>
      <c r="D32" s="64">
        <f>SAISIE!D38</f>
        <v>2</v>
      </c>
      <c r="E32" s="64">
        <f>SAISIE!E38</f>
        <v>2</v>
      </c>
      <c r="F32" s="64">
        <f>SAISIE!F38</f>
        <v>2</v>
      </c>
      <c r="G32" s="64">
        <f>SAISIE!G38</f>
        <v>4</v>
      </c>
      <c r="H32" s="73">
        <f t="shared" si="0"/>
        <v>-1.75</v>
      </c>
      <c r="I32" s="74">
        <f>IF(H32&gt;=0,0,SAISIE!I38*ABS(H32)*SAISIE!J38+(16-ROW()+27)/10000)</f>
        <v>15.751099999999999</v>
      </c>
      <c r="J32" s="71">
        <f t="shared" si="1"/>
        <v>2.25</v>
      </c>
      <c r="K32" s="72">
        <f t="shared" si="2"/>
        <v>4</v>
      </c>
    </row>
    <row r="33" spans="1:11" x14ac:dyDescent="0.3">
      <c r="A33" s="58"/>
      <c r="B33" s="60" t="str">
        <f>SAISIE!B39</f>
        <v>RGPD &amp; Protection données</v>
      </c>
      <c r="C33" s="61">
        <f>SAISIE!C39</f>
        <v>3</v>
      </c>
      <c r="D33" s="61">
        <f>SAISIE!D39</f>
        <v>2</v>
      </c>
      <c r="E33" s="61">
        <f>SAISIE!E39</f>
        <v>2</v>
      </c>
      <c r="F33" s="61">
        <f>SAISIE!F39</f>
        <v>2</v>
      </c>
      <c r="G33" s="61">
        <f>SAISIE!G39</f>
        <v>4</v>
      </c>
      <c r="H33" s="69">
        <f t="shared" si="0"/>
        <v>-1.75</v>
      </c>
      <c r="I33" s="70">
        <f>IF(H33&gt;=0,0,SAISIE!I39*ABS(H33)*SAISIE!J39+(16-ROW()+27)/10000)</f>
        <v>10.500999999999999</v>
      </c>
      <c r="J33" s="71">
        <f t="shared" si="1"/>
        <v>2.25</v>
      </c>
      <c r="K33" s="72">
        <f t="shared" si="2"/>
        <v>4</v>
      </c>
    </row>
    <row r="34" spans="1:11" x14ac:dyDescent="0.3">
      <c r="A34" s="58"/>
      <c r="B34" s="63" t="str">
        <f>SAISIE!B40</f>
        <v>Cybersécurité</v>
      </c>
      <c r="C34" s="64">
        <f>SAISIE!C40</f>
        <v>3</v>
      </c>
      <c r="D34" s="64">
        <f>SAISIE!D40</f>
        <v>2</v>
      </c>
      <c r="E34" s="64">
        <f>SAISIE!E40</f>
        <v>2</v>
      </c>
      <c r="F34" s="64">
        <f>SAISIE!F40</f>
        <v>2</v>
      </c>
      <c r="G34" s="64">
        <f>SAISIE!G40</f>
        <v>4</v>
      </c>
      <c r="H34" s="73">
        <f t="shared" si="0"/>
        <v>-1.75</v>
      </c>
      <c r="I34" s="74">
        <f>IF(H34&gt;=0,0,SAISIE!I40*ABS(H34)*SAISIE!J40+(16-ROW()+27)/10000)</f>
        <v>10.5009</v>
      </c>
      <c r="J34" s="71">
        <f t="shared" si="1"/>
        <v>2.25</v>
      </c>
      <c r="K34" s="72">
        <f t="shared" si="2"/>
        <v>4</v>
      </c>
    </row>
    <row r="35" spans="1:11" x14ac:dyDescent="0.3">
      <c r="A35" s="58"/>
      <c r="B35" s="60" t="str">
        <f>SAISIE!B41</f>
        <v>LCB-FT / Tracfin</v>
      </c>
      <c r="C35" s="61">
        <f>SAISIE!C41</f>
        <v>3</v>
      </c>
      <c r="D35" s="61">
        <f>SAISIE!D41</f>
        <v>2</v>
      </c>
      <c r="E35" s="61">
        <f>SAISIE!E41</f>
        <v>3</v>
      </c>
      <c r="F35" s="61">
        <f>SAISIE!F41</f>
        <v>2</v>
      </c>
      <c r="G35" s="61">
        <f>SAISIE!G41</f>
        <v>4</v>
      </c>
      <c r="H35" s="69">
        <f t="shared" si="0"/>
        <v>-1.5</v>
      </c>
      <c r="I35" s="70">
        <f>IF(H35&gt;=0,0,SAISIE!I41*ABS(H35)*SAISIE!J41+(16-ROW()+27)/10000)</f>
        <v>4.5007999999999999</v>
      </c>
      <c r="J35" s="71">
        <f t="shared" si="1"/>
        <v>2.5</v>
      </c>
      <c r="K35" s="72">
        <f t="shared" si="2"/>
        <v>4</v>
      </c>
    </row>
    <row r="36" spans="1:11" x14ac:dyDescent="0.3">
      <c r="A36" s="58"/>
      <c r="B36" s="63" t="str">
        <f>SAISIE!B42</f>
        <v>Outils SaaS / Cloud</v>
      </c>
      <c r="C36" s="64">
        <f>SAISIE!C42</f>
        <v>3</v>
      </c>
      <c r="D36" s="64">
        <f>SAISIE!D42</f>
        <v>3</v>
      </c>
      <c r="E36" s="64">
        <f>SAISIE!E42</f>
        <v>2</v>
      </c>
      <c r="F36" s="64">
        <f>SAISIE!F42</f>
        <v>3</v>
      </c>
      <c r="G36" s="64">
        <f>SAISIE!G42</f>
        <v>3</v>
      </c>
      <c r="H36" s="73">
        <f t="shared" si="0"/>
        <v>-0.25</v>
      </c>
      <c r="I36" s="74">
        <f>IF(H36&gt;=0,0,SAISIE!I42*ABS(H36)*SAISIE!J42+(16-ROW()+27)/10000)</f>
        <v>1.0006999999999999</v>
      </c>
      <c r="J36" s="71">
        <f t="shared" si="1"/>
        <v>2.75</v>
      </c>
      <c r="K36" s="72">
        <f t="shared" si="2"/>
        <v>3</v>
      </c>
    </row>
    <row r="37" spans="1:11" x14ac:dyDescent="0.3">
      <c r="A37" s="58"/>
      <c r="B37" s="60" t="str">
        <f>SAISIE!B43</f>
        <v>IA &amp; Automatisation</v>
      </c>
      <c r="C37" s="61">
        <f>SAISIE!C43</f>
        <v>3</v>
      </c>
      <c r="D37" s="61">
        <f>SAISIE!D43</f>
        <v>2</v>
      </c>
      <c r="E37" s="61">
        <f>SAISIE!E43</f>
        <v>1</v>
      </c>
      <c r="F37" s="61">
        <f>SAISIE!F43</f>
        <v>2</v>
      </c>
      <c r="G37" s="61">
        <f>SAISIE!G43</f>
        <v>4</v>
      </c>
      <c r="H37" s="69">
        <f t="shared" si="0"/>
        <v>-2</v>
      </c>
      <c r="I37" s="70">
        <f>IF(H37&gt;=0,0,SAISIE!I43*ABS(H37)*SAISIE!J43+(16-ROW()+27)/10000)</f>
        <v>12.0006</v>
      </c>
      <c r="J37" s="71">
        <f t="shared" si="1"/>
        <v>2</v>
      </c>
      <c r="K37" s="72">
        <f t="shared" si="2"/>
        <v>4</v>
      </c>
    </row>
    <row r="38" spans="1:11" x14ac:dyDescent="0.3">
      <c r="A38" s="58"/>
      <c r="B38" s="63" t="str">
        <f>SAISIE!B44</f>
        <v>Relation client digitale</v>
      </c>
      <c r="C38" s="64">
        <f>SAISIE!C44</f>
        <v>4</v>
      </c>
      <c r="D38" s="64">
        <f>SAISIE!D44</f>
        <v>2</v>
      </c>
      <c r="E38" s="64">
        <f>SAISIE!E44</f>
        <v>3</v>
      </c>
      <c r="F38" s="64">
        <f>SAISIE!F44</f>
        <v>2</v>
      </c>
      <c r="G38" s="64">
        <f>SAISIE!G44</f>
        <v>3</v>
      </c>
      <c r="H38" s="73">
        <f t="shared" si="0"/>
        <v>-0.25</v>
      </c>
      <c r="I38" s="74">
        <f>IF(H38&gt;=0,0,SAISIE!I44*ABS(H38)*SAISIE!J44+(16-ROW()+27)/10000)</f>
        <v>0.2505</v>
      </c>
      <c r="J38" s="71">
        <f t="shared" si="1"/>
        <v>2.75</v>
      </c>
      <c r="K38" s="72">
        <f t="shared" si="2"/>
        <v>3</v>
      </c>
    </row>
    <row r="39" spans="1:11" x14ac:dyDescent="0.3">
      <c r="A39" s="58"/>
      <c r="B39" s="60" t="str">
        <f>SAISIE!B45</f>
        <v>GED &amp; Archivage probant</v>
      </c>
      <c r="C39" s="61">
        <f>SAISIE!C45</f>
        <v>3</v>
      </c>
      <c r="D39" s="61">
        <f>SAISIE!D45</f>
        <v>2</v>
      </c>
      <c r="E39" s="61">
        <f>SAISIE!E45</f>
        <v>2</v>
      </c>
      <c r="F39" s="61">
        <f>SAISIE!F45</f>
        <v>2</v>
      </c>
      <c r="G39" s="61">
        <f>SAISIE!G45</f>
        <v>3</v>
      </c>
      <c r="H39" s="69">
        <f t="shared" si="0"/>
        <v>-0.75</v>
      </c>
      <c r="I39" s="70">
        <f>IF(H39&gt;=0,0,SAISIE!I45*ABS(H39)*SAISIE!J45+(16-ROW()+27)/10000)</f>
        <v>3.0004</v>
      </c>
      <c r="J39" s="71">
        <f t="shared" si="1"/>
        <v>2.25</v>
      </c>
      <c r="K39" s="72">
        <f t="shared" si="2"/>
        <v>3</v>
      </c>
    </row>
    <row r="40" spans="1:11" x14ac:dyDescent="0.3">
      <c r="A40" s="58"/>
      <c r="B40" s="63" t="str">
        <f>SAISIE!B46</f>
        <v>Déontologie</v>
      </c>
      <c r="C40" s="64">
        <f>SAISIE!C46</f>
        <v>4</v>
      </c>
      <c r="D40" s="64">
        <f>SAISIE!D46</f>
        <v>2</v>
      </c>
      <c r="E40" s="64">
        <f>SAISIE!E46</f>
        <v>4</v>
      </c>
      <c r="F40" s="64">
        <f>SAISIE!F46</f>
        <v>3</v>
      </c>
      <c r="G40" s="64">
        <f>SAISIE!G46</f>
        <v>4</v>
      </c>
      <c r="H40" s="73">
        <f t="shared" si="0"/>
        <v>-0.75</v>
      </c>
      <c r="I40" s="74">
        <f>IF(H40&gt;=0,0,SAISIE!I46*ABS(H40)*SAISIE!J46+(16-ROW()+27)/10000)</f>
        <v>2.2503000000000002</v>
      </c>
      <c r="J40" s="71">
        <f t="shared" si="1"/>
        <v>3.25</v>
      </c>
      <c r="K40" s="72">
        <f t="shared" si="2"/>
        <v>4</v>
      </c>
    </row>
    <row r="41" spans="1:11" x14ac:dyDescent="0.3">
      <c r="A41" s="58"/>
      <c r="B41" s="60" t="str">
        <f>SAISIE!B47</f>
        <v>Signature électronique</v>
      </c>
      <c r="C41" s="61">
        <f>SAISIE!C47</f>
        <v>3</v>
      </c>
      <c r="D41" s="61">
        <f>SAISIE!D47</f>
        <v>1</v>
      </c>
      <c r="E41" s="61">
        <f>SAISIE!E47</f>
        <v>2</v>
      </c>
      <c r="F41" s="61">
        <f>SAISIE!F47</f>
        <v>1</v>
      </c>
      <c r="G41" s="61">
        <f>SAISIE!G47</f>
        <v>3</v>
      </c>
      <c r="H41" s="69">
        <f t="shared" si="0"/>
        <v>-1.25</v>
      </c>
      <c r="I41" s="70">
        <f>IF(H41&gt;=0,0,SAISIE!I47*ABS(H41)*SAISIE!J47+(16-ROW()+27)/10000)</f>
        <v>5.0002000000000004</v>
      </c>
      <c r="J41" s="71">
        <f t="shared" si="1"/>
        <v>1.75</v>
      </c>
      <c r="K41" s="72">
        <f t="shared" si="2"/>
        <v>3</v>
      </c>
    </row>
    <row r="42" spans="1:11" x14ac:dyDescent="0.3">
      <c r="A42" s="58"/>
      <c r="B42" s="63" t="str">
        <f>SAISIE!B48</f>
        <v>Communication digitale</v>
      </c>
      <c r="C42" s="64">
        <f>SAISIE!C48</f>
        <v>3</v>
      </c>
      <c r="D42" s="64">
        <f>SAISIE!D48</f>
        <v>2</v>
      </c>
      <c r="E42" s="64">
        <f>SAISIE!E48</f>
        <v>2</v>
      </c>
      <c r="F42" s="64">
        <f>SAISIE!F48</f>
        <v>2</v>
      </c>
      <c r="G42" s="64">
        <f>SAISIE!G48</f>
        <v>3</v>
      </c>
      <c r="H42" s="73">
        <f t="shared" si="0"/>
        <v>-0.75</v>
      </c>
      <c r="I42" s="74">
        <f>IF(H42&gt;=0,0,SAISIE!I48*ABS(H42)*SAISIE!J48+(16-ROW()+27)/10000)</f>
        <v>0.75009999999999999</v>
      </c>
      <c r="J42" s="71">
        <f t="shared" si="1"/>
        <v>2.25</v>
      </c>
      <c r="K42" s="72">
        <f t="shared" si="2"/>
        <v>3</v>
      </c>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ht="41.25" customHeight="1" x14ac:dyDescent="0.3">
      <c r="A45" s="58"/>
      <c r="B45" s="19" t="s">
        <v>323</v>
      </c>
      <c r="C45" s="58"/>
      <c r="D45" s="58"/>
      <c r="E45" s="58"/>
      <c r="F45" s="58"/>
      <c r="G45" s="58"/>
      <c r="H45" s="58"/>
      <c r="I45" s="58"/>
      <c r="J45" s="58"/>
      <c r="K45" s="58"/>
    </row>
    <row r="46" spans="1:11" x14ac:dyDescent="0.3">
      <c r="A46" s="58"/>
      <c r="B46" s="16" t="s">
        <v>324</v>
      </c>
      <c r="C46" s="16" t="s">
        <v>124</v>
      </c>
      <c r="D46" s="16" t="s">
        <v>325</v>
      </c>
      <c r="E46" s="16" t="s">
        <v>321</v>
      </c>
      <c r="F46" s="16" t="s">
        <v>126</v>
      </c>
      <c r="G46" s="16" t="s">
        <v>128</v>
      </c>
      <c r="H46" s="16" t="s">
        <v>326</v>
      </c>
      <c r="I46" s="58"/>
      <c r="J46" s="58"/>
      <c r="K46" s="58"/>
    </row>
    <row r="47" spans="1:11" ht="26.25" customHeight="1" x14ac:dyDescent="0.3">
      <c r="A47" s="58"/>
      <c r="B47" s="60">
        <v>1</v>
      </c>
      <c r="C47" s="60" t="str">
        <f>IFERROR(INDEX($B$27:$B$42,MATCH(LARGE($I$27:$I$42,1),$I$27:$I$42,0)),"—")</f>
        <v>Facture électronique (PA)</v>
      </c>
      <c r="D47" s="70">
        <f>IFERROR(ROUND(LARGE($I$27:$I$42,1),1),0)</f>
        <v>15.8</v>
      </c>
      <c r="E47" s="69">
        <f>IFERROR(INDEX($H$27:$H$42,MATCH(LARGE($I$27:$I$42,1),$I$27:$I$42,0)),0)</f>
        <v>-1.75</v>
      </c>
      <c r="F47" s="61" t="str">
        <f>IFERROR(INDEX(SAISIE!$H$33:$H$48,MATCH(LARGE($I$27:$I$42,1),$I$27:$I$42,0)),"—")</f>
        <v>CRITIQUE</v>
      </c>
      <c r="G47" s="61">
        <f>IFERROR(INDEX(SAISIE!$J$33:$J$48,MATCH(LARGE($I$27:$I$42,1),$I$27:$I$42,0)),0)</f>
        <v>3</v>
      </c>
      <c r="H47" s="62" t="str">
        <f>IF(D47&gt;=8,"🔴 URGENT",IF(D47&gt;=4,"🟠 HAUTE",IF(D47&gt;0,"🟡 MOYENNE","—")))</f>
        <v>🔴 URGENT</v>
      </c>
      <c r="I47" s="58"/>
      <c r="J47" s="58"/>
      <c r="K47" s="58"/>
    </row>
    <row r="48" spans="1:11" ht="26.25" customHeight="1" x14ac:dyDescent="0.3">
      <c r="A48" s="58"/>
      <c r="B48" s="63">
        <v>2</v>
      </c>
      <c r="C48" s="63" t="str">
        <f>IFERROR(INDEX($B$27:$B$42,MATCH(LARGE($I$27:$I$42,2),$I$27:$I$42,0)),"—")</f>
        <v>IA &amp; Automatisation</v>
      </c>
      <c r="D48" s="74">
        <f>IFERROR(ROUND(LARGE($I$27:$I$42,2),1),0)</f>
        <v>12</v>
      </c>
      <c r="E48" s="73">
        <f>IFERROR(INDEX($H$27:$H$42,MATCH(LARGE($I$27:$I$42,2),$I$27:$I$42,0)),0)</f>
        <v>-2</v>
      </c>
      <c r="F48" s="64" t="str">
        <f>IFERROR(INDEX(SAISIE!$H$33:$H$48,MATCH(LARGE($I$27:$I$42,2),$I$27:$I$42,0)),"—")</f>
        <v>CRITIQUE</v>
      </c>
      <c r="G48" s="64">
        <f>IFERROR(INDEX(SAISIE!$J$33:$J$48,MATCH(LARGE($I$27:$I$42,2),$I$27:$I$42,0)),0)</f>
        <v>2</v>
      </c>
      <c r="H48" s="62" t="str">
        <f>IF(D48&gt;=8,"🔴 URGENT",IF(D48&gt;=4,"🟠 HAUTE",IF(D48&gt;0,"🟡 MOYENNE","—")))</f>
        <v>🔴 URGENT</v>
      </c>
      <c r="I48" s="58"/>
      <c r="J48" s="58"/>
      <c r="K48" s="58"/>
    </row>
    <row r="49" spans="1:11" ht="39" customHeight="1" x14ac:dyDescent="0.3">
      <c r="A49" s="58"/>
      <c r="B49" s="60">
        <v>3</v>
      </c>
      <c r="C49" s="60" t="str">
        <f>IFERROR(INDEX($B$27:$B$42,MATCH(LARGE($I$27:$I$42,3),$I$27:$I$42,0)),"—")</f>
        <v>RGPD &amp; Protection données</v>
      </c>
      <c r="D49" s="70">
        <f>IFERROR(ROUND(LARGE($I$27:$I$42,3),1),0)</f>
        <v>10.5</v>
      </c>
      <c r="E49" s="69">
        <f>IFERROR(INDEX($H$27:$H$42,MATCH(LARGE($I$27:$I$42,3),$I$27:$I$42,0)),0)</f>
        <v>-1.75</v>
      </c>
      <c r="F49" s="61" t="str">
        <f>IFERROR(INDEX(SAISIE!$H$33:$H$48,MATCH(LARGE($I$27:$I$42,3),$I$27:$I$42,0)),"—")</f>
        <v>CRITIQUE</v>
      </c>
      <c r="G49" s="61">
        <f>IFERROR(INDEX(SAISIE!$J$33:$J$48,MATCH(LARGE($I$27:$I$42,3),$I$27:$I$42,0)),0)</f>
        <v>2</v>
      </c>
      <c r="H49" s="62" t="str">
        <f>IF(D49&gt;=8,"🔴 URGENT",IF(D49&gt;=4,"🟠 HAUTE",IF(D49&gt;0,"🟡 MOYENNE","—")))</f>
        <v>🔴 URGENT</v>
      </c>
      <c r="I49" s="58"/>
      <c r="J49" s="58"/>
      <c r="K49" s="58"/>
    </row>
    <row r="50" spans="1:11" x14ac:dyDescent="0.3">
      <c r="A50" s="58"/>
      <c r="B50" s="63">
        <v>4</v>
      </c>
      <c r="C50" s="63" t="str">
        <f>IFERROR(INDEX($B$27:$B$42,MATCH(LARGE($I$27:$I$42,4),$I$27:$I$42,0)),"—")</f>
        <v>Cybersécurité</v>
      </c>
      <c r="D50" s="74">
        <f>IFERROR(ROUND(LARGE($I$27:$I$42,4),1),0)</f>
        <v>10.5</v>
      </c>
      <c r="E50" s="73">
        <f>IFERROR(INDEX($H$27:$H$42,MATCH(LARGE($I$27:$I$42,4),$I$27:$I$42,0)),0)</f>
        <v>-1.75</v>
      </c>
      <c r="F50" s="64" t="str">
        <f>IFERROR(INDEX(SAISIE!$H$33:$H$48,MATCH(LARGE($I$27:$I$42,4),$I$27:$I$42,0)),"—")</f>
        <v>CRITIQUE</v>
      </c>
      <c r="G50" s="64">
        <f>IFERROR(INDEX(SAISIE!$J$33:$J$48,MATCH(LARGE($I$27:$I$42,4),$I$27:$I$42,0)),0)</f>
        <v>2</v>
      </c>
      <c r="H50" s="62" t="str">
        <f>IF(D50&gt;=8,"🔴 URGENT",IF(D50&gt;=4,"🟠 HAUTE",IF(D50&gt;0,"🟡 MOYENNE","—")))</f>
        <v>🔴 URGENT</v>
      </c>
      <c r="I50" s="58"/>
      <c r="J50" s="58"/>
      <c r="K50" s="58"/>
    </row>
    <row r="51" spans="1:11" ht="26.25" customHeight="1" x14ac:dyDescent="0.3">
      <c r="A51" s="58"/>
      <c r="B51" s="60">
        <v>5</v>
      </c>
      <c r="C51" s="60" t="str">
        <f>IFERROR(INDEX($B$27:$B$42,MATCH(LARGE($I$27:$I$42,5),$I$27:$I$42,0)),"—")</f>
        <v>Signature électronique</v>
      </c>
      <c r="D51" s="70">
        <f>IFERROR(ROUND(LARGE($I$27:$I$42,5),1),0)</f>
        <v>5</v>
      </c>
      <c r="E51" s="69">
        <f>IFERROR(INDEX($H$27:$H$42,MATCH(LARGE($I$27:$I$42,5),$I$27:$I$42,0)),0)</f>
        <v>-1.25</v>
      </c>
      <c r="F51" s="61" t="str">
        <f>IFERROR(INDEX(SAISIE!$H$33:$H$48,MATCH(LARGE($I$27:$I$42,5),$I$27:$I$42,0)),"—")</f>
        <v>Stratégique</v>
      </c>
      <c r="G51" s="61">
        <f>IFERROR(INDEX(SAISIE!$J$33:$J$48,MATCH(LARGE($I$27:$I$42,5),$I$27:$I$42,0)),0)</f>
        <v>2</v>
      </c>
      <c r="H51" s="62" t="str">
        <f>IF(D51&gt;=8,"🔴 URGENT",IF(D51&gt;=4,"🟠 HAUTE",IF(D51&gt;0,"🟡 MOYENNE","—")))</f>
        <v>🟠 HAUTE</v>
      </c>
      <c r="I51" s="58"/>
      <c r="J51" s="58"/>
      <c r="K51" s="58"/>
    </row>
    <row r="53" spans="1:11" x14ac:dyDescent="0.3">
      <c r="B53" s="75" t="s">
        <v>327</v>
      </c>
    </row>
    <row r="54" spans="1:11" ht="66" customHeight="1" x14ac:dyDescent="0.3">
      <c r="B54" s="76" t="s">
        <v>328</v>
      </c>
      <c r="C54" s="77"/>
      <c r="D54" s="78" t="str">
        <f>D7</f>
        <v>0 / 4</v>
      </c>
      <c r="E54" s="79" t="s">
        <v>329</v>
      </c>
      <c r="F54" s="80"/>
      <c r="G54" s="80"/>
      <c r="H54" s="80"/>
    </row>
    <row r="55" spans="1:11" ht="52.5" customHeight="1" x14ac:dyDescent="0.3">
      <c r="B55" s="81" t="s">
        <v>330</v>
      </c>
      <c r="C55" s="82"/>
      <c r="D55" s="83" t="str">
        <f>COUNTIF('PLAN D''ACTION'!H64:H67,"✅*")&amp;" / "&amp;COUNTA('PLAN D''ACTION'!B64:B67)</f>
        <v>4 / 4</v>
      </c>
      <c r="E55" s="83" t="str">
        <f>IF(COUNTIF('PLAN D''ACTION'!H64:H67,"✅*")=COUNTA('PLAN D''ACTION'!B64:B67),"→ Conformité intégrale projetée au 31/12/2026","→ Conformité partielle — actions complémentaires requises")</f>
        <v>→ Conformité intégrale projetée au 31/12/2026</v>
      </c>
      <c r="F55" s="84"/>
      <c r="G55" s="84"/>
      <c r="H55" s="84"/>
    </row>
    <row r="56" spans="1:11" ht="66" customHeight="1" x14ac:dyDescent="0.3">
      <c r="B56" s="76" t="s">
        <v>331</v>
      </c>
      <c r="C56" s="77"/>
      <c r="D56" s="85">
        <f>'PLAN D''ACTION'!D51</f>
        <v>-1265</v>
      </c>
      <c r="E56" s="79" t="s">
        <v>332</v>
      </c>
      <c r="F56" s="80"/>
      <c r="G56" s="80"/>
      <c r="H56" s="80"/>
    </row>
    <row r="58" spans="1:11" ht="27" customHeight="1" x14ac:dyDescent="0.3">
      <c r="B58" s="86" t="s">
        <v>333</v>
      </c>
    </row>
    <row r="59" spans="1:11" ht="23.25" customHeight="1" x14ac:dyDescent="0.3">
      <c r="B59" s="87" t="s">
        <v>334</v>
      </c>
      <c r="C59" s="77"/>
      <c r="D59" s="184" t="s">
        <v>335</v>
      </c>
      <c r="E59" s="184"/>
      <c r="F59" s="184"/>
      <c r="G59" s="184"/>
      <c r="H59" s="184"/>
    </row>
    <row r="60" spans="1:11" ht="14.25" customHeight="1" x14ac:dyDescent="0.3">
      <c r="B60" s="88" t="s">
        <v>336</v>
      </c>
      <c r="C60" s="82"/>
      <c r="D60" s="185" t="s">
        <v>337</v>
      </c>
      <c r="E60" s="185"/>
      <c r="F60" s="185"/>
      <c r="G60" s="185"/>
      <c r="H60" s="185"/>
    </row>
    <row r="61" spans="1:11" ht="14.25" customHeight="1" x14ac:dyDescent="0.3">
      <c r="B61" s="87" t="s">
        <v>338</v>
      </c>
      <c r="C61" s="77"/>
      <c r="D61" s="184" t="s">
        <v>339</v>
      </c>
      <c r="E61" s="184"/>
      <c r="F61" s="184"/>
      <c r="G61" s="184"/>
      <c r="H61" s="184"/>
    </row>
    <row r="62" spans="1:11" ht="14.25" customHeight="1" x14ac:dyDescent="0.3">
      <c r="B62" s="88" t="s">
        <v>340</v>
      </c>
      <c r="C62" s="82"/>
      <c r="D62" s="185" t="s">
        <v>341</v>
      </c>
      <c r="E62" s="185"/>
      <c r="F62" s="185"/>
      <c r="G62" s="185"/>
      <c r="H62" s="185"/>
    </row>
    <row r="64" spans="1:11" x14ac:dyDescent="0.3">
      <c r="B64" s="86" t="s">
        <v>342</v>
      </c>
    </row>
    <row r="65" spans="2:8" ht="14.25" customHeight="1" x14ac:dyDescent="0.3">
      <c r="B65" s="90" t="s">
        <v>343</v>
      </c>
      <c r="C65" s="77"/>
      <c r="D65" s="184" t="s">
        <v>344</v>
      </c>
      <c r="E65" s="184"/>
      <c r="F65" s="184"/>
      <c r="G65" s="184"/>
      <c r="H65" s="184"/>
    </row>
    <row r="66" spans="2:8" ht="14.25" customHeight="1" x14ac:dyDescent="0.3">
      <c r="B66" s="91" t="s">
        <v>345</v>
      </c>
      <c r="C66" s="82"/>
      <c r="D66" s="185" t="s">
        <v>346</v>
      </c>
      <c r="E66" s="185"/>
      <c r="F66" s="185"/>
      <c r="G66" s="185"/>
      <c r="H66" s="185"/>
    </row>
    <row r="67" spans="2:8" ht="14.25" customHeight="1" x14ac:dyDescent="0.3">
      <c r="B67" s="90" t="s">
        <v>347</v>
      </c>
      <c r="C67" s="77"/>
      <c r="D67" s="184" t="s">
        <v>348</v>
      </c>
      <c r="E67" s="184"/>
      <c r="F67" s="184"/>
      <c r="G67" s="184"/>
      <c r="H67" s="184"/>
    </row>
    <row r="68" spans="2:8" ht="14.25" customHeight="1" x14ac:dyDescent="0.3">
      <c r="B68" s="91" t="s">
        <v>349</v>
      </c>
      <c r="C68" s="82"/>
      <c r="D68" s="185" t="s">
        <v>350</v>
      </c>
      <c r="E68" s="185"/>
      <c r="F68" s="185"/>
      <c r="G68" s="185"/>
      <c r="H68" s="185"/>
    </row>
    <row r="70" spans="2:8" x14ac:dyDescent="0.3">
      <c r="B70" s="92" t="s">
        <v>351</v>
      </c>
      <c r="C70" s="93"/>
      <c r="D70" s="186" t="str">
        <f>"Exécuter le plan d'action dans l'ordre des priorités du TOP 5. Priorité n°1 : "&amp;C47&amp;" (score "&amp;TEXT(D47,"0,0")&amp;"). Réactualiser cette grille lors de chaque revue qualité annuelle (NPMQ §25)."</f>
        <v>Exécuter le plan d'action dans l'ordre des priorités du TOP 5. Priorité n°1 : Facture électronique (PA) (score 15,8). Réactualiser cette grille lors de chaque revue qualité annuelle (NPMQ §25).</v>
      </c>
      <c r="E70" s="186"/>
      <c r="F70" s="186"/>
      <c r="G70" s="186"/>
      <c r="H70" s="186"/>
    </row>
  </sheetData>
  <sheetProtection algorithmName="SHA-512" hashValue="kZZ896jCW9wIZTYn5nHlk0S3kMBJPJ0czIZscQ0fgg5mS10WdM1KXcU37Ub0FHCch5vOiOW/XAOMPo9Dcl0MXw==" saltValue="KAOe7BkbgdK1qI4erifHNQ==" spinCount="100000" sheet="1" objects="1" scenarios="1"/>
  <mergeCells count="13">
    <mergeCell ref="B2:I2"/>
    <mergeCell ref="B3:I3"/>
    <mergeCell ref="B11:I11"/>
    <mergeCell ref="B23:H23"/>
    <mergeCell ref="D59:H59"/>
    <mergeCell ref="D67:H67"/>
    <mergeCell ref="D68:H68"/>
    <mergeCell ref="D70:H70"/>
    <mergeCell ref="D60:H60"/>
    <mergeCell ref="D61:H61"/>
    <mergeCell ref="D62:H62"/>
    <mergeCell ref="D65:H65"/>
    <mergeCell ref="D66:H66"/>
  </mergeCells>
  <pageMargins left="0.4" right="0.4" top="0.5" bottom="0.5" header="0.5" footer="0.5"/>
  <pageSetup paperSize="9" fitToHeight="0" orientation="landscape" horizontalDpi="300" verticalDpi="300"/>
  <headerFooter>
    <oddHeader>&amp;CANNEXE 22 — Diagnostic automatique</oddHeader>
    <oddFooter>&amp;CPage &amp;P /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95"/>
  <sheetViews>
    <sheetView showGridLines="0" zoomScaleNormal="100" workbookViewId="0">
      <pane xSplit="1" ySplit="5" topLeftCell="B76" activePane="bottomRight" state="frozen"/>
      <selection pane="topRight" activeCell="B1" sqref="B1"/>
      <selection pane="bottomLeft" activeCell="A6" sqref="A6"/>
      <selection pane="bottomRight" activeCell="D102" sqref="D102"/>
    </sheetView>
  </sheetViews>
  <sheetFormatPr baseColWidth="10" defaultColWidth="8.6640625" defaultRowHeight="14.4" x14ac:dyDescent="0.3"/>
  <cols>
    <col min="1" max="1" width="3" style="57" customWidth="1"/>
    <col min="2" max="2" width="32" style="57" customWidth="1"/>
    <col min="3" max="3" width="18" style="57" customWidth="1"/>
    <col min="4" max="4" width="28.88671875" style="57" customWidth="1"/>
    <col min="5" max="5" width="34.5546875" style="57" customWidth="1"/>
    <col min="6" max="6" width="35.109375" style="57" customWidth="1"/>
    <col min="7" max="7" width="13.77734375" style="57" customWidth="1"/>
    <col min="8" max="8" width="11.33203125" style="57" customWidth="1"/>
    <col min="9" max="9" width="27.33203125" style="57" customWidth="1"/>
    <col min="10" max="10" width="10" style="57" customWidth="1"/>
    <col min="11" max="16384" width="8.6640625" style="57"/>
  </cols>
  <sheetData>
    <row r="1" spans="1:9" x14ac:dyDescent="0.3">
      <c r="A1" s="58"/>
      <c r="B1" s="58"/>
      <c r="C1" s="58"/>
      <c r="D1" s="58"/>
      <c r="E1" s="58"/>
      <c r="F1" s="58"/>
      <c r="G1" s="58"/>
      <c r="H1" s="58"/>
      <c r="I1" s="58"/>
    </row>
    <row r="2" spans="1:9" ht="17.25" customHeight="1" x14ac:dyDescent="0.3">
      <c r="A2" s="58"/>
      <c r="B2" s="180" t="s">
        <v>352</v>
      </c>
      <c r="C2" s="180"/>
      <c r="D2" s="180"/>
      <c r="E2" s="180"/>
      <c r="F2" s="180"/>
      <c r="G2" s="180"/>
      <c r="H2" s="180"/>
      <c r="I2" s="180"/>
    </row>
    <row r="3" spans="1:9" ht="14.25" customHeight="1" x14ac:dyDescent="0.3">
      <c r="A3" s="58"/>
      <c r="B3" s="187" t="s">
        <v>305</v>
      </c>
      <c r="C3" s="187"/>
      <c r="D3" s="187"/>
      <c r="E3" s="187"/>
      <c r="F3" s="187"/>
      <c r="G3" s="187"/>
      <c r="H3" s="187"/>
      <c r="I3" s="187"/>
    </row>
    <row r="4" spans="1:9" x14ac:dyDescent="0.3">
      <c r="A4" s="58"/>
      <c r="B4" s="58"/>
      <c r="C4" s="58"/>
      <c r="D4" s="58"/>
      <c r="E4" s="58"/>
      <c r="F4" s="58"/>
      <c r="G4" s="58"/>
      <c r="H4" s="58"/>
      <c r="I4" s="58"/>
    </row>
    <row r="5" spans="1:9" ht="27" customHeight="1" x14ac:dyDescent="0.3">
      <c r="A5" s="58"/>
      <c r="B5" s="19" t="s">
        <v>353</v>
      </c>
      <c r="C5" s="58"/>
      <c r="D5" s="58"/>
      <c r="E5" s="58"/>
      <c r="F5" s="58"/>
      <c r="G5" s="58"/>
      <c r="H5" s="58"/>
      <c r="I5" s="58"/>
    </row>
    <row r="6" spans="1:9" x14ac:dyDescent="0.3">
      <c r="A6" s="58"/>
      <c r="B6" s="16" t="s">
        <v>215</v>
      </c>
      <c r="C6" s="16" t="s">
        <v>312</v>
      </c>
      <c r="D6" s="16" t="s">
        <v>154</v>
      </c>
      <c r="E6" s="16" t="s">
        <v>155</v>
      </c>
      <c r="F6" s="15" t="s">
        <v>153</v>
      </c>
      <c r="G6" s="15" t="s">
        <v>124</v>
      </c>
      <c r="H6" s="15" t="s">
        <v>354</v>
      </c>
      <c r="I6" s="15" t="s">
        <v>355</v>
      </c>
    </row>
    <row r="7" spans="1:9" x14ac:dyDescent="0.3">
      <c r="A7" s="58"/>
      <c r="B7" s="60" t="str">
        <f>IF(SAISIE!B77="","",SAISIE!B77)</f>
        <v>IA dans l'exercice professionnel</v>
      </c>
      <c r="C7" s="61" t="str">
        <f>IF(SAISIE!B77="","",SAISIE!C77)</f>
        <v>Lambert</v>
      </c>
      <c r="D7" s="70">
        <f>IF(SAISIE!B77="","",SAISIE!D77)</f>
        <v>14</v>
      </c>
      <c r="E7" s="94">
        <f>IF(SAISIE!B77="","",SAISIE!E77)</f>
        <v>890</v>
      </c>
      <c r="F7" s="95" t="str">
        <f>IF(SAISIE!B77="","",SAISIE!F77)</f>
        <v>CFPC (catalogue 2026)</v>
      </c>
      <c r="G7" s="96" t="str">
        <f>IF(SAISIE!B77="","",SAISIE!G77)</f>
        <v>IA</v>
      </c>
      <c r="H7" s="96" t="str">
        <f>IF(SAISIE!B77="","",SAISIE!H77)</f>
        <v>Productivité</v>
      </c>
      <c r="I7" s="97" t="s">
        <v>356</v>
      </c>
    </row>
    <row r="8" spans="1:9" x14ac:dyDescent="0.3">
      <c r="A8" s="58"/>
      <c r="B8" s="63" t="str">
        <f>IF(SAISIE!B78="","",SAISIE!B78)</f>
        <v>Cybersécurité des cabinets</v>
      </c>
      <c r="C8" s="64" t="str">
        <f>IF(SAISIE!B78="","",SAISIE!C78)</f>
        <v>Lambert</v>
      </c>
      <c r="D8" s="74">
        <f>IF(SAISIE!B78="","",SAISIE!D78)</f>
        <v>7</v>
      </c>
      <c r="E8" s="98">
        <f>IF(SAISIE!B78="","",SAISIE!E78)</f>
        <v>650</v>
      </c>
      <c r="F8" s="99" t="str">
        <f>IF(SAISIE!B78="","",SAISIE!F78)</f>
        <v>ANSSI / Cybermalveillance</v>
      </c>
      <c r="G8" s="100" t="str">
        <f>IF(SAISIE!B78="","",SAISIE!G78)</f>
        <v>Cyber</v>
      </c>
      <c r="H8" s="100" t="str">
        <f>IF(SAISIE!B78="","",SAISIE!H78)</f>
        <v>Prévention</v>
      </c>
      <c r="I8" s="101" t="s">
        <v>357</v>
      </c>
    </row>
    <row r="9" spans="1:9" x14ac:dyDescent="0.3">
      <c r="A9" s="58"/>
      <c r="B9" s="60" t="str">
        <f>IF(SAISIE!B79="","",SAISIE!B79)</f>
        <v>RGPD — Conformité cabinet EC</v>
      </c>
      <c r="C9" s="61" t="str">
        <f>IF(SAISIE!B79="","",SAISIE!C79)</f>
        <v>Renaud</v>
      </c>
      <c r="D9" s="70">
        <f>IF(SAISIE!B79="","",SAISIE!D79)</f>
        <v>7</v>
      </c>
      <c r="E9" s="94">
        <f>IF(SAISIE!B79="","",SAISIE!E79)</f>
        <v>1200</v>
      </c>
      <c r="F9" s="95" t="str">
        <f>IF(SAISIE!B79="","",SAISIE!F79)</f>
        <v>Impact RGPD</v>
      </c>
      <c r="G9" s="96" t="str">
        <f>IF(SAISIE!B79="","",SAISIE!G79)</f>
        <v>RGPD</v>
      </c>
      <c r="H9" s="96" t="str">
        <f>IF(SAISIE!B79="","",SAISIE!H79)</f>
        <v>Conformité</v>
      </c>
      <c r="I9" s="97" t="s">
        <v>358</v>
      </c>
    </row>
    <row r="10" spans="1:9" x14ac:dyDescent="0.3">
      <c r="A10" s="58"/>
      <c r="B10" s="63" t="s">
        <v>237</v>
      </c>
      <c r="C10" s="64" t="str">
        <f>IF(SAISIE!B80="","",SAISIE!C80)</f>
        <v>Dupré</v>
      </c>
      <c r="D10" s="74">
        <f>IF(SAISIE!B80="","",SAISIE!D80)</f>
        <v>14</v>
      </c>
      <c r="E10" s="98">
        <f>IF(SAISIE!B80="","",SAISIE!E80)</f>
        <v>890</v>
      </c>
      <c r="F10" s="99" t="str">
        <f>IF(SAISIE!B80="","",SAISIE!F80)</f>
        <v>CFPC (catalogue 2026)</v>
      </c>
      <c r="G10" s="100" t="str">
        <f>IF(SAISIE!B80="","",SAISIE!G80)</f>
        <v>E-facture</v>
      </c>
      <c r="H10" s="100" t="str">
        <f>IF(SAISIE!B80="","",SAISIE!H80)</f>
        <v>Productivité</v>
      </c>
      <c r="I10" s="101" t="s">
        <v>359</v>
      </c>
    </row>
    <row r="11" spans="1:9" x14ac:dyDescent="0.3">
      <c r="A11" s="58"/>
      <c r="B11" s="60" t="str">
        <f>IF(SAISIE!B81="","",SAISIE!B81)</f>
        <v>LCB-FT vigilance annuelle</v>
      </c>
      <c r="C11" s="61" t="str">
        <f>IF(SAISIE!B81="","",SAISIE!C81)</f>
        <v>Équipe</v>
      </c>
      <c r="D11" s="70">
        <f>IF(SAISIE!B81="","",SAISIE!D81)</f>
        <v>3.5</v>
      </c>
      <c r="E11" s="94">
        <f>IF(SAISIE!B81="","",SAISIE!E81)</f>
        <v>600</v>
      </c>
      <c r="F11" s="95" t="str">
        <f>IF(SAISIE!B81="","",SAISIE!F81)</f>
        <v>CFPC / CSOEC</v>
      </c>
      <c r="G11" s="96" t="str">
        <f>IF(SAISIE!B81="","",SAISIE!G81)</f>
        <v>LCB-FT</v>
      </c>
      <c r="H11" s="96" t="str">
        <f>IF(SAISIE!B81="","",SAISIE!H81)</f>
        <v>Conformité</v>
      </c>
      <c r="I11" s="97" t="s">
        <v>360</v>
      </c>
    </row>
    <row r="12" spans="1:9" x14ac:dyDescent="0.3">
      <c r="A12" s="58"/>
      <c r="B12" s="63" t="str">
        <f>IF(SAISIE!B82="","",SAISIE!B82)</f>
        <v>Déontologie &amp; normes 2026</v>
      </c>
      <c r="C12" s="64" t="str">
        <f>IF(SAISIE!B82="","",SAISIE!C82)</f>
        <v>Dupré</v>
      </c>
      <c r="D12" s="74">
        <f>IF(SAISIE!B82="","",SAISIE!D82)</f>
        <v>7</v>
      </c>
      <c r="E12" s="98">
        <f>IF(SAISIE!B82="","",SAISIE!E82)</f>
        <v>350</v>
      </c>
      <c r="F12" s="99" t="str">
        <f>IF(SAISIE!B82="","",SAISIE!F82)</f>
        <v>CROEC Île-de-France</v>
      </c>
      <c r="G12" s="100" t="str">
        <f>IF(SAISIE!B82="","",SAISIE!G82)</f>
        <v>Déontologie</v>
      </c>
      <c r="H12" s="100" t="str">
        <f>IF(SAISIE!B82="","",SAISIE!H82)</f>
        <v>Conformité</v>
      </c>
      <c r="I12" s="101" t="s">
        <v>361</v>
      </c>
    </row>
    <row r="13" spans="1:9" x14ac:dyDescent="0.3">
      <c r="A13" s="58"/>
      <c r="B13" s="60" t="str">
        <f>IF(SAISIE!B83="","",SAISIE!B83)</f>
        <v>Signature électronique avancée</v>
      </c>
      <c r="C13" s="61" t="str">
        <f>IF(SAISIE!B83="","",SAISIE!C83)</f>
        <v>Renaud</v>
      </c>
      <c r="D13" s="70">
        <f>IF(SAISIE!B83="","",SAISIE!D83)</f>
        <v>7</v>
      </c>
      <c r="E13" s="94">
        <f>IF(SAISIE!B83="","",SAISIE!E83)</f>
        <v>450</v>
      </c>
      <c r="F13" s="95" t="str">
        <f>IF(SAISIE!B83="","",SAISIE!F83)</f>
        <v>Organisme Qualiopi</v>
      </c>
      <c r="G13" s="96" t="str">
        <f>IF(SAISIE!B83="","",SAISIE!G83)</f>
        <v>Signature</v>
      </c>
      <c r="H13" s="96" t="str">
        <f>IF(SAISIE!B83="","",SAISIE!H83)</f>
        <v>Compétence</v>
      </c>
      <c r="I13" s="97" t="s">
        <v>362</v>
      </c>
    </row>
    <row r="14" spans="1:9" x14ac:dyDescent="0.3">
      <c r="A14" s="58"/>
      <c r="B14" s="63" t="str">
        <f>IF(SAISIE!B84="","",SAISIE!B84)</f>
        <v>GED &amp; archivage probant</v>
      </c>
      <c r="C14" s="64" t="str">
        <f>IF(SAISIE!B84="","",SAISIE!C84)</f>
        <v>Renaud</v>
      </c>
      <c r="D14" s="74">
        <f>IF(SAISIE!B84="","",SAISIE!D84)</f>
        <v>7</v>
      </c>
      <c r="E14" s="98">
        <f>IF(SAISIE!B84="","",SAISIE!E84)</f>
        <v>550</v>
      </c>
      <c r="F14" s="99" t="str">
        <f>IF(SAISIE!B84="","",SAISIE!F84)</f>
        <v>Organisme Qualiopi</v>
      </c>
      <c r="G14" s="100" t="str">
        <f>IF(SAISIE!B84="","",SAISIE!G84)</f>
        <v>GED</v>
      </c>
      <c r="H14" s="100" t="str">
        <f>IF(SAISIE!B84="","",SAISIE!H84)</f>
        <v>Compétence</v>
      </c>
      <c r="I14" s="101" t="s">
        <v>363</v>
      </c>
    </row>
    <row r="15" spans="1:9" ht="26.25" customHeight="1" x14ac:dyDescent="0.3">
      <c r="A15" s="58"/>
      <c r="B15" s="60" t="str">
        <f>IF(SAISIE!B85="","",SAISIE!B85)</f>
        <v>Comptabilité avancée — Arrêté et consolidation</v>
      </c>
      <c r="C15" s="61" t="str">
        <f>IF(SAISIE!B85="","",SAISIE!C85)</f>
        <v>Renaud</v>
      </c>
      <c r="D15" s="70">
        <f>IF(SAISIE!B85="","",SAISIE!D85)</f>
        <v>14</v>
      </c>
      <c r="E15" s="94">
        <f>IF(SAISIE!B85="","",SAISIE!E85)</f>
        <v>890</v>
      </c>
      <c r="F15" s="95" t="str">
        <f>IF(SAISIE!B85="","",SAISIE!F85)</f>
        <v>CFPC (catalogue 2026)</v>
      </c>
      <c r="G15" s="96" t="str">
        <f>IF(SAISIE!B85="","",SAISIE!G85)</f>
        <v>Comptabilité</v>
      </c>
      <c r="H15" s="96" t="str">
        <f>IF(SAISIE!B85="","",SAISIE!H85)</f>
        <v>Compétence</v>
      </c>
      <c r="I15" s="97" t="s">
        <v>364</v>
      </c>
    </row>
    <row r="16" spans="1:9" ht="26.25" customHeight="1" x14ac:dyDescent="0.3">
      <c r="A16" s="58"/>
      <c r="B16" s="63" t="str">
        <f>IF(SAISIE!B86="","",SAISIE!B86)</f>
        <v>Outils SaaS avancés — Automatisation flux</v>
      </c>
      <c r="C16" s="64" t="str">
        <f>IF(SAISIE!B86="","",SAISIE!C86)</f>
        <v>Renaud</v>
      </c>
      <c r="D16" s="74">
        <f>IF(SAISIE!B86="","",SAISIE!D86)</f>
        <v>7</v>
      </c>
      <c r="E16" s="98">
        <f>IF(SAISIE!B86="","",SAISIE!E86)</f>
        <v>0</v>
      </c>
      <c r="F16" s="99" t="str">
        <f>IF(SAISIE!B86="","",SAISIE!F86)</f>
        <v>campusAtlas (100% pris en charge)</v>
      </c>
      <c r="G16" s="100" t="str">
        <f>IF(SAISIE!B86="","",SAISIE!G86)</f>
        <v>SaaS</v>
      </c>
      <c r="H16" s="100" t="str">
        <f>IF(SAISIE!B86="","",SAISIE!H86)</f>
        <v>Productivité</v>
      </c>
      <c r="I16" s="101" t="s">
        <v>365</v>
      </c>
    </row>
    <row r="17" spans="1:9" ht="26.25" customHeight="1" x14ac:dyDescent="0.3">
      <c r="A17" s="58"/>
      <c r="B17" s="60" t="str">
        <f>IF(SAISIE!B87="","",SAISIE!B87)</f>
        <v>Communication digitale — Relation client</v>
      </c>
      <c r="C17" s="61" t="str">
        <f>IF(SAISIE!B87="","",SAISIE!C87)</f>
        <v>Renaud</v>
      </c>
      <c r="D17" s="70">
        <f>IF(SAISIE!B87="","",SAISIE!D87)</f>
        <v>7</v>
      </c>
      <c r="E17" s="94">
        <f>IF(SAISIE!B87="","",SAISIE!E87)</f>
        <v>0</v>
      </c>
      <c r="F17" s="95" t="str">
        <f>IF(SAISIE!B87="","",SAISIE!F87)</f>
        <v>microlearningAtlas</v>
      </c>
      <c r="G17" s="96" t="str">
        <f>IF(SAISIE!B87="","",SAISIE!G87)</f>
        <v>Communication</v>
      </c>
      <c r="H17" s="96" t="str">
        <f>IF(SAISIE!B87="","",SAISIE!H87)</f>
        <v>Compétence</v>
      </c>
      <c r="I17" s="97" t="s">
        <v>366</v>
      </c>
    </row>
    <row r="18" spans="1:9" ht="26.25" customHeight="1" x14ac:dyDescent="0.3">
      <c r="A18" s="58"/>
      <c r="B18" s="63" t="str">
        <f>IF(SAISIE!B88="","",SAISIE!B88)</f>
        <v>Veille réglementaire IA — AI Act application</v>
      </c>
      <c r="C18" s="64" t="str">
        <f>IF(SAISIE!B88="","",SAISIE!C88)</f>
        <v>Dupré</v>
      </c>
      <c r="D18" s="74">
        <f>IF(SAISIE!B88="","",SAISIE!D88)</f>
        <v>7</v>
      </c>
      <c r="E18" s="98">
        <f>IF(SAISIE!B88="","",SAISIE!E88)</f>
        <v>0</v>
      </c>
      <c r="F18" s="99" t="str">
        <f>IF(SAISIE!B88="","",SAISIE!F88)</f>
        <v>Webinaire CNOEC (gratuit inscrit)</v>
      </c>
      <c r="G18" s="100" t="str">
        <f>IF(SAISIE!B88="","",SAISIE!G88)</f>
        <v>IA</v>
      </c>
      <c r="H18" s="100" t="str">
        <f>IF(SAISIE!B88="","",SAISIE!H88)</f>
        <v>Conformité</v>
      </c>
      <c r="I18" s="101" t="s">
        <v>367</v>
      </c>
    </row>
    <row r="19" spans="1:9" ht="26.25" customHeight="1" x14ac:dyDescent="0.3">
      <c r="A19" s="58"/>
      <c r="B19" s="60" t="str">
        <f>IF(SAISIE!B89="","",SAISIE!B89)</f>
        <v>PIX I Atlas — Évaluation compétences numériques</v>
      </c>
      <c r="C19" s="61" t="str">
        <f>IF(SAISIE!B89="","",SAISIE!C89)</f>
        <v>Renaud</v>
      </c>
      <c r="D19" s="70">
        <f>IF(SAISIE!B89="","",SAISIE!D89)</f>
        <v>3.5</v>
      </c>
      <c r="E19" s="94">
        <f>IF(SAISIE!B89="","",SAISIE!E89)</f>
        <v>0</v>
      </c>
      <c r="F19" s="95" t="str">
        <f>IF(SAISIE!B89="","",SAISIE!F89)</f>
        <v>PIX I Atlas (100% gratuit, toutes tailles)</v>
      </c>
      <c r="G19" s="96" t="str">
        <f>IF(SAISIE!B89="","",SAISIE!G89)</f>
        <v>SaaS</v>
      </c>
      <c r="H19" s="96" t="str">
        <f>IF(SAISIE!B89="","",SAISIE!H89)</f>
        <v>Compétence</v>
      </c>
      <c r="I19" s="97" t="s">
        <v>368</v>
      </c>
    </row>
    <row r="20" spans="1:9" ht="26.25" customHeight="1" x14ac:dyDescent="0.3">
      <c r="A20" s="58"/>
      <c r="B20" s="40" t="s">
        <v>369</v>
      </c>
      <c r="C20" s="42"/>
      <c r="D20" s="42">
        <f>SUM(D7:D19)</f>
        <v>105</v>
      </c>
      <c r="E20" s="102">
        <f>SUM(E7:E19)</f>
        <v>6470</v>
      </c>
      <c r="F20" s="103"/>
      <c r="G20" s="103"/>
      <c r="H20" s="103"/>
      <c r="I20" s="103"/>
    </row>
    <row r="21" spans="1:9" x14ac:dyDescent="0.3">
      <c r="A21" s="58"/>
      <c r="B21" s="58"/>
      <c r="C21" s="58"/>
      <c r="D21" s="58"/>
      <c r="E21" s="58"/>
      <c r="F21" s="58"/>
      <c r="G21" s="58"/>
      <c r="H21" s="58"/>
      <c r="I21" s="58"/>
    </row>
    <row r="22" spans="1:9" ht="41.25" customHeight="1" x14ac:dyDescent="0.3">
      <c r="A22" s="58"/>
      <c r="B22" s="19" t="s">
        <v>370</v>
      </c>
      <c r="C22" s="58"/>
      <c r="D22" s="58"/>
      <c r="E22" s="58"/>
      <c r="F22" s="58"/>
      <c r="G22" s="58"/>
      <c r="H22" s="58"/>
      <c r="I22" s="58"/>
    </row>
    <row r="23" spans="1:9" ht="14.25" customHeight="1" x14ac:dyDescent="0.3">
      <c r="A23" s="58"/>
      <c r="B23" s="190" t="s">
        <v>371</v>
      </c>
      <c r="C23" s="190"/>
      <c r="D23" s="190"/>
      <c r="E23" s="190"/>
      <c r="F23" s="190"/>
      <c r="G23" s="190"/>
      <c r="H23" s="190"/>
      <c r="I23" s="190"/>
    </row>
    <row r="24" spans="1:9" x14ac:dyDescent="0.3">
      <c r="A24" s="58"/>
      <c r="B24" s="16" t="s">
        <v>372</v>
      </c>
      <c r="C24" s="16" t="s">
        <v>373</v>
      </c>
      <c r="D24" s="16"/>
      <c r="E24" s="16" t="s">
        <v>68</v>
      </c>
      <c r="F24" s="58"/>
      <c r="G24" s="58"/>
      <c r="H24" s="58"/>
      <c r="I24" s="58"/>
    </row>
    <row r="25" spans="1:9" x14ac:dyDescent="0.3">
      <c r="A25" s="58"/>
      <c r="B25" s="60" t="s">
        <v>374</v>
      </c>
      <c r="C25" s="94">
        <f>E20</f>
        <v>6470</v>
      </c>
      <c r="D25" s="61"/>
      <c r="E25" s="61" t="s">
        <v>375</v>
      </c>
      <c r="F25" s="58"/>
      <c r="G25" s="58"/>
      <c r="H25" s="58"/>
      <c r="I25" s="58"/>
    </row>
    <row r="26" spans="1:9" x14ac:dyDescent="0.3">
      <c r="A26" s="58"/>
      <c r="B26" s="63" t="s">
        <v>376</v>
      </c>
      <c r="C26" s="98">
        <f>SAISIE!C13</f>
        <v>2800</v>
      </c>
      <c r="D26" s="64"/>
      <c r="E26" s="64" t="s">
        <v>377</v>
      </c>
      <c r="F26" s="58"/>
      <c r="G26" s="58"/>
      <c r="H26" s="58"/>
      <c r="I26" s="58"/>
    </row>
    <row r="27" spans="1:9" ht="26.25" customHeight="1" x14ac:dyDescent="0.3">
      <c r="A27" s="58"/>
      <c r="B27" s="60" t="s">
        <v>378</v>
      </c>
      <c r="C27" s="94">
        <f>SAISIE!C14</f>
        <v>1000</v>
      </c>
      <c r="D27" s="61"/>
      <c r="E27" s="61" t="s">
        <v>379</v>
      </c>
      <c r="F27" s="58"/>
      <c r="G27" s="58"/>
      <c r="H27" s="58"/>
      <c r="I27" s="58"/>
    </row>
    <row r="28" spans="1:9" x14ac:dyDescent="0.3">
      <c r="A28" s="58"/>
      <c r="B28" s="40" t="s">
        <v>380</v>
      </c>
      <c r="C28" s="102">
        <f>C26+C27</f>
        <v>3800</v>
      </c>
      <c r="D28" s="42"/>
      <c r="E28" s="42"/>
      <c r="F28" s="58"/>
      <c r="G28" s="58"/>
      <c r="H28" s="58"/>
      <c r="I28" s="58"/>
    </row>
    <row r="29" spans="1:9" x14ac:dyDescent="0.3">
      <c r="A29" s="58"/>
      <c r="B29" s="40" t="s">
        <v>381</v>
      </c>
      <c r="C29" s="102">
        <f>C25-C28</f>
        <v>2670</v>
      </c>
      <c r="D29" s="42"/>
      <c r="E29" s="42" t="s">
        <v>382</v>
      </c>
      <c r="F29" s="58"/>
      <c r="G29" s="58"/>
      <c r="H29" s="58"/>
      <c r="I29" s="58"/>
    </row>
    <row r="30" spans="1:9" x14ac:dyDescent="0.3">
      <c r="A30" s="58"/>
      <c r="B30" s="58"/>
      <c r="C30" s="58"/>
      <c r="D30" s="58"/>
      <c r="E30" s="58"/>
      <c r="F30" s="58"/>
      <c r="G30" s="58"/>
      <c r="H30" s="58"/>
      <c r="I30" s="58"/>
    </row>
    <row r="31" spans="1:9" ht="62.25" customHeight="1" x14ac:dyDescent="0.3">
      <c r="A31" s="58"/>
      <c r="B31" s="104" t="s">
        <v>383</v>
      </c>
      <c r="C31" s="58"/>
      <c r="D31" s="58"/>
      <c r="E31" s="58"/>
      <c r="F31" s="58"/>
      <c r="G31" s="58"/>
      <c r="H31" s="58"/>
      <c r="I31" s="58"/>
    </row>
    <row r="32" spans="1:9" ht="14.25" customHeight="1" x14ac:dyDescent="0.3">
      <c r="A32" s="58"/>
      <c r="B32" s="191" t="s">
        <v>384</v>
      </c>
      <c r="C32" s="191"/>
      <c r="D32" s="191"/>
      <c r="E32" s="191"/>
      <c r="F32" s="191"/>
      <c r="G32" s="191"/>
      <c r="H32" s="191"/>
      <c r="I32" s="191"/>
    </row>
    <row r="33" spans="1:9" x14ac:dyDescent="0.3">
      <c r="A33" s="58"/>
      <c r="B33" s="16" t="s">
        <v>385</v>
      </c>
      <c r="C33" s="16" t="s">
        <v>124</v>
      </c>
      <c r="D33" s="16" t="s">
        <v>386</v>
      </c>
      <c r="E33" s="16" t="s">
        <v>387</v>
      </c>
      <c r="F33" s="16" t="s">
        <v>388</v>
      </c>
      <c r="G33" s="58"/>
      <c r="H33" s="58"/>
      <c r="I33" s="58"/>
    </row>
    <row r="34" spans="1:9" ht="26.25" customHeight="1" x14ac:dyDescent="0.3">
      <c r="A34" s="58"/>
      <c r="B34" s="60" t="str">
        <f>IF(SAISIE!B95="","",SAISIE!B95)</f>
        <v>Martin</v>
      </c>
      <c r="C34" s="61" t="str">
        <f>IF(SAISIE!B95="","",SAISIE!C95)</f>
        <v>Lambert</v>
      </c>
      <c r="D34" s="61" t="str">
        <f>IF(SAISIE!B95="","",SAISIE!D95)</f>
        <v>IA &amp; Prompting SaaS — Mentorat inversé</v>
      </c>
      <c r="E34" s="61">
        <f>IF(SAISIE!B95="","",SAISIE!E95)</f>
        <v>14</v>
      </c>
      <c r="F34" s="94">
        <f>IF(SAISIE!B95="","",SAISIE!F95)</f>
        <v>890</v>
      </c>
      <c r="G34" s="58"/>
      <c r="H34" s="58"/>
      <c r="I34" s="58"/>
    </row>
    <row r="35" spans="1:9" x14ac:dyDescent="0.3">
      <c r="A35" s="58"/>
      <c r="B35" s="63" t="str">
        <f>IF(SAISIE!B96="","",SAISIE!B96)</f>
        <v>Lambert</v>
      </c>
      <c r="C35" s="64" t="str">
        <f>IF(SAISIE!B96="","",SAISIE!C96)</f>
        <v>Martin</v>
      </c>
      <c r="D35" s="64" t="str">
        <f>IF(SAISIE!B96="","",SAISIE!D96)</f>
        <v>Révision comptable — Tutorat</v>
      </c>
      <c r="E35" s="64">
        <f>IF(SAISIE!B96="","",SAISIE!E96)</f>
        <v>14</v>
      </c>
      <c r="F35" s="98">
        <f>IF(SAISIE!B96="","",SAISIE!F96)</f>
        <v>980</v>
      </c>
      <c r="G35" s="58"/>
      <c r="H35" s="58"/>
      <c r="I35" s="58"/>
    </row>
    <row r="36" spans="1:9" ht="26.25" customHeight="1" x14ac:dyDescent="0.3">
      <c r="A36" s="58"/>
      <c r="B36" s="60" t="str">
        <f>IF(SAISIE!B97="","",SAISIE!B97)</f>
        <v>Lambert</v>
      </c>
      <c r="C36" s="61" t="str">
        <f>IF(SAISIE!B97="","",SAISIE!C97)</f>
        <v>Renaud</v>
      </c>
      <c r="D36" s="61" t="str">
        <f>IF(SAISIE!B97="","",SAISIE!D97)</f>
        <v>Fiscalité appliquée — Cas pratiques</v>
      </c>
      <c r="E36" s="61">
        <f>IF(SAISIE!B97="","",SAISIE!E97)</f>
        <v>7</v>
      </c>
      <c r="F36" s="94">
        <f>IF(SAISIE!B97="","",SAISIE!F97)</f>
        <v>450</v>
      </c>
      <c r="G36" s="58"/>
      <c r="H36" s="58"/>
      <c r="I36" s="58"/>
    </row>
    <row r="37" spans="1:9" ht="26.25" customHeight="1" x14ac:dyDescent="0.3">
      <c r="A37" s="58"/>
      <c r="B37" s="63" t="str">
        <f>IF(SAISIE!B98="","",SAISIE!B98)</f>
        <v>Lambert</v>
      </c>
      <c r="C37" s="64" t="str">
        <f>IF(SAISIE!B98="","",SAISIE!C98)</f>
        <v>Renaud</v>
      </c>
      <c r="D37" s="64" t="str">
        <f>IF(SAISIE!B98="","",SAISIE!D98)</f>
        <v>IA appliquée — Prompts comptabilité</v>
      </c>
      <c r="E37" s="64">
        <f>IF(SAISIE!B98="","",SAISIE!E98)</f>
        <v>7</v>
      </c>
      <c r="F37" s="98">
        <f>IF(SAISIE!B98="","",SAISIE!F98)</f>
        <v>890</v>
      </c>
      <c r="G37" s="58"/>
      <c r="H37" s="58"/>
      <c r="I37" s="58"/>
    </row>
    <row r="38" spans="1:9" ht="26.25" customHeight="1" x14ac:dyDescent="0.3">
      <c r="A38" s="58"/>
      <c r="B38" s="60" t="str">
        <f>IF(SAISIE!B99="","",SAISIE!B99)</f>
        <v>Lambert</v>
      </c>
      <c r="C38" s="61" t="str">
        <f>IF(SAISIE!B99="","",SAISIE!C99)</f>
        <v>Dupré</v>
      </c>
      <c r="D38" s="61" t="str">
        <f>IF(SAISIE!B99="","",SAISIE!D99)</f>
        <v>Cybersécurité — Bonnes pratiques cabinet</v>
      </c>
      <c r="E38" s="61">
        <f>IF(SAISIE!B99="","",SAISIE!E99)</f>
        <v>3.5</v>
      </c>
      <c r="F38" s="94">
        <f>IF(SAISIE!B99="","",SAISIE!F99)</f>
        <v>325</v>
      </c>
      <c r="G38" s="58"/>
      <c r="H38" s="58"/>
      <c r="I38" s="58"/>
    </row>
    <row r="39" spans="1:9" ht="26.25" customHeight="1" x14ac:dyDescent="0.3">
      <c r="A39" s="58"/>
      <c r="B39" s="63" t="str">
        <f>IF(SAISIE!B100="","",SAISIE!B100)</f>
        <v>Lambert</v>
      </c>
      <c r="C39" s="64" t="str">
        <f>IF(SAISIE!B100="","",SAISIE!C100)</f>
        <v>Martin</v>
      </c>
      <c r="D39" s="64" t="str">
        <f>IF(SAISIE!B100="","",SAISIE!D100)</f>
        <v>Cybersécurité — Bonnes pratiques cabinet</v>
      </c>
      <c r="E39" s="64">
        <f>IF(SAISIE!B100="","",SAISIE!E100)</f>
        <v>3.5</v>
      </c>
      <c r="F39" s="98">
        <f>IF(SAISIE!B100="","",SAISIE!F100)</f>
        <v>0</v>
      </c>
      <c r="G39" s="58"/>
      <c r="H39" s="58"/>
      <c r="I39" s="58"/>
    </row>
    <row r="40" spans="1:9" ht="26.25" customHeight="1" x14ac:dyDescent="0.3">
      <c r="A40" s="58"/>
      <c r="B40" s="60" t="str">
        <f>IF(SAISIE!B101="","",SAISIE!B101)</f>
        <v>Lambert</v>
      </c>
      <c r="C40" s="61" t="str">
        <f>IF(SAISIE!B101="","",SAISIE!C101)</f>
        <v>Renaud</v>
      </c>
      <c r="D40" s="61" t="str">
        <f>IF(SAISIE!B101="","",SAISIE!D101)</f>
        <v>Cybersécurité — Bonnes pratiques cabinet</v>
      </c>
      <c r="E40" s="61">
        <f>IF(SAISIE!B101="","",SAISIE!E101)</f>
        <v>3.5</v>
      </c>
      <c r="F40" s="94">
        <f>IF(SAISIE!B101="","",SAISIE!F101)</f>
        <v>0</v>
      </c>
      <c r="G40" s="58"/>
      <c r="H40" s="58"/>
      <c r="I40" s="58"/>
    </row>
    <row r="41" spans="1:9" ht="26.25" customHeight="1" x14ac:dyDescent="0.3">
      <c r="A41" s="58"/>
      <c r="B41" s="63" t="str">
        <f>IF(SAISIE!B102="","",SAISIE!B102)</f>
        <v>Dupré</v>
      </c>
      <c r="C41" s="64" t="str">
        <f>IF(SAISIE!B102="","",SAISIE!C102)</f>
        <v>Martin</v>
      </c>
      <c r="D41" s="64" t="str">
        <f>IF(SAISIE!B102="","",SAISIE!D102)</f>
        <v>E-facture PA — Cascade post-formation</v>
      </c>
      <c r="E41" s="64">
        <f>IF(SAISIE!B102="","",SAISIE!E102)</f>
        <v>3.5</v>
      </c>
      <c r="F41" s="98">
        <f>IF(SAISIE!B102="","",SAISIE!F102)</f>
        <v>225</v>
      </c>
      <c r="G41" s="58"/>
      <c r="H41" s="58"/>
      <c r="I41" s="58"/>
    </row>
    <row r="42" spans="1:9" ht="26.25" customHeight="1" x14ac:dyDescent="0.3">
      <c r="A42" s="58"/>
      <c r="B42" s="60" t="str">
        <f>IF(SAISIE!B103="","",SAISIE!B103)</f>
        <v>Dupré</v>
      </c>
      <c r="C42" s="61" t="str">
        <f>IF(SAISIE!B103="","",SAISIE!C103)</f>
        <v>Lambert</v>
      </c>
      <c r="D42" s="61" t="str">
        <f>IF(SAISIE!B103="","",SAISIE!D103)</f>
        <v>E-facture PA — Cascade post-formation</v>
      </c>
      <c r="E42" s="61">
        <f>IF(SAISIE!B103="","",SAISIE!E103)</f>
        <v>3.5</v>
      </c>
      <c r="F42" s="94">
        <f>IF(SAISIE!B103="","",SAISIE!F103)</f>
        <v>0</v>
      </c>
      <c r="G42" s="58"/>
      <c r="H42" s="58"/>
      <c r="I42" s="58"/>
    </row>
    <row r="43" spans="1:9" ht="26.25" customHeight="1" x14ac:dyDescent="0.3">
      <c r="A43" s="58"/>
      <c r="B43" s="63" t="str">
        <f>IF(SAISIE!B104="","",SAISIE!B104)</f>
        <v>Dupré</v>
      </c>
      <c r="C43" s="64" t="str">
        <f>IF(SAISIE!B104="","",SAISIE!C104)</f>
        <v>Renaud</v>
      </c>
      <c r="D43" s="64" t="str">
        <f>IF(SAISIE!B104="","",SAISIE!D104)</f>
        <v>E-facture PA — Cascade post-formation</v>
      </c>
      <c r="E43" s="64">
        <f>IF(SAISIE!B104="","",SAISIE!E104)</f>
        <v>3.5</v>
      </c>
      <c r="F43" s="98">
        <f>IF(SAISIE!B104="","",SAISIE!F104)</f>
        <v>0</v>
      </c>
      <c r="G43" s="58"/>
      <c r="H43" s="58"/>
      <c r="I43" s="58"/>
    </row>
    <row r="44" spans="1:9" ht="26.25" customHeight="1" x14ac:dyDescent="0.3">
      <c r="A44" s="58"/>
      <c r="B44" s="60" t="str">
        <f>IF(SAISIE!B105="","",SAISIE!B105)</f>
        <v>Dupré</v>
      </c>
      <c r="C44" s="61" t="str">
        <f>IF(SAISIE!B105="","",SAISIE!C105)</f>
        <v>Martin</v>
      </c>
      <c r="D44" s="64" t="str">
        <f>IF(SAISIE!B105="","",SAISIE!D105)</f>
        <v>Déontologie — Actualités normes 2026</v>
      </c>
      <c r="E44" s="61">
        <f>IF(SAISIE!B105="","",SAISIE!E105)</f>
        <v>3.5</v>
      </c>
      <c r="F44" s="61">
        <f>IF(SAISIE!B105="","",SAISIE!F105)</f>
        <v>175</v>
      </c>
      <c r="G44" s="58"/>
      <c r="H44" s="58"/>
      <c r="I44" s="58"/>
    </row>
    <row r="45" spans="1:9" ht="26.25" customHeight="1" x14ac:dyDescent="0.3">
      <c r="A45" s="58"/>
      <c r="B45" s="60" t="str">
        <f>IF(SAISIE!B106="","",SAISIE!B106)</f>
        <v>Dupré</v>
      </c>
      <c r="C45" s="61" t="str">
        <f>IF(SAISIE!B106="","",SAISIE!C106)</f>
        <v>Lambert</v>
      </c>
      <c r="D45" s="64" t="str">
        <f>IF(SAISIE!B106="","",SAISIE!D105)</f>
        <v>Déontologie — Actualités normes 2026</v>
      </c>
      <c r="E45" s="61">
        <f>IF(SAISIE!B106="","",SAISIE!E106)</f>
        <v>3.5</v>
      </c>
      <c r="F45" s="61">
        <f>IF(SAISIE!B106="","",SAISIE!F106)</f>
        <v>0</v>
      </c>
      <c r="G45" s="58"/>
      <c r="H45" s="58"/>
      <c r="I45" s="58"/>
    </row>
    <row r="46" spans="1:9" ht="26.25" customHeight="1" x14ac:dyDescent="0.3">
      <c r="A46" s="58"/>
      <c r="B46" s="60" t="str">
        <f>IF(SAISIE!B107="","",SAISIE!B107)</f>
        <v>Dupré</v>
      </c>
      <c r="C46" s="61" t="str">
        <f>IF(SAISIE!B107="","",SAISIE!C107)</f>
        <v>Renaud</v>
      </c>
      <c r="D46" s="64" t="str">
        <f>IF(SAISIE!B107="","",SAISIE!D107)</f>
        <v>Déontologie — Actualités normes 2026</v>
      </c>
      <c r="E46" s="61">
        <f>IF(SAISIE!B107="","",SAISIE!E107)</f>
        <v>3.5</v>
      </c>
      <c r="F46" s="61">
        <f>IF(SAISIE!B107="","",SAISIE!F107)</f>
        <v>0</v>
      </c>
      <c r="G46" s="58"/>
      <c r="H46" s="58"/>
      <c r="I46" s="58"/>
    </row>
    <row r="47" spans="1:9" x14ac:dyDescent="0.3">
      <c r="A47" s="58"/>
      <c r="B47" s="16"/>
      <c r="C47" s="16"/>
      <c r="D47" s="105">
        <f>E20</f>
        <v>6470</v>
      </c>
      <c r="E47" s="16"/>
      <c r="F47" s="16">
        <f>SUM(F34:F46)</f>
        <v>3935</v>
      </c>
      <c r="G47" s="58"/>
      <c r="H47" s="58"/>
      <c r="I47" s="58"/>
    </row>
    <row r="48" spans="1:9" x14ac:dyDescent="0.3">
      <c r="A48" s="58"/>
      <c r="B48" s="60" t="s">
        <v>389</v>
      </c>
      <c r="C48" s="60"/>
      <c r="D48" s="106">
        <f>-C28</f>
        <v>-3800</v>
      </c>
      <c r="E48" s="107"/>
      <c r="F48" s="107">
        <f>SUM(F34:F47)</f>
        <v>7870</v>
      </c>
      <c r="G48" s="58"/>
      <c r="H48" s="58"/>
      <c r="I48" s="58"/>
    </row>
    <row r="49" spans="1:9" x14ac:dyDescent="0.3">
      <c r="A49" s="58"/>
      <c r="B49" s="63" t="s">
        <v>390</v>
      </c>
      <c r="C49" s="63"/>
      <c r="D49" s="108">
        <f>D47+D48</f>
        <v>2670</v>
      </c>
      <c r="E49" s="109"/>
      <c r="F49" s="109" t="s">
        <v>382</v>
      </c>
      <c r="G49" s="58"/>
      <c r="H49" s="58"/>
      <c r="I49" s="58"/>
    </row>
    <row r="50" spans="1:9" x14ac:dyDescent="0.3">
      <c r="A50" s="58"/>
      <c r="B50" s="60" t="s">
        <v>391</v>
      </c>
      <c r="C50" s="60"/>
      <c r="D50" s="106">
        <f>-F47</f>
        <v>-3935</v>
      </c>
      <c r="E50" s="107"/>
      <c r="F50" s="107" t="s">
        <v>392</v>
      </c>
      <c r="G50" s="58"/>
      <c r="H50" s="58"/>
      <c r="I50" s="58"/>
    </row>
    <row r="51" spans="1:9" ht="82.5" customHeight="1" x14ac:dyDescent="0.3">
      <c r="A51" s="58"/>
      <c r="B51" s="110" t="s">
        <v>393</v>
      </c>
      <c r="C51" s="111"/>
      <c r="D51" s="112">
        <f>D49+D50</f>
        <v>-1265</v>
      </c>
      <c r="E51" s="111"/>
      <c r="F51" s="111" t="s">
        <v>394</v>
      </c>
      <c r="G51" s="58"/>
      <c r="H51" s="58"/>
      <c r="I51" s="58"/>
    </row>
    <row r="52" spans="1:9" x14ac:dyDescent="0.3">
      <c r="A52" s="58"/>
      <c r="B52" s="58"/>
      <c r="C52" s="58"/>
      <c r="D52" s="58"/>
      <c r="E52" s="58"/>
      <c r="F52" s="58"/>
      <c r="G52" s="58"/>
      <c r="H52" s="58"/>
      <c r="I52" s="58"/>
    </row>
    <row r="53" spans="1:9" x14ac:dyDescent="0.3">
      <c r="A53" s="58"/>
      <c r="B53" s="19" t="s">
        <v>395</v>
      </c>
      <c r="C53" s="58"/>
      <c r="D53" s="58"/>
      <c r="E53" s="58"/>
      <c r="F53" s="58"/>
      <c r="G53" s="58"/>
      <c r="H53" s="58"/>
      <c r="I53" s="58"/>
    </row>
    <row r="54" spans="1:9" ht="26.25" customHeight="1" x14ac:dyDescent="0.3">
      <c r="A54" s="58"/>
      <c r="B54" s="113" t="s">
        <v>396</v>
      </c>
      <c r="C54" s="60"/>
      <c r="D54" s="60" t="str">
        <f>"≈ "&amp;SAISIE!G16&amp;" €/h"</f>
        <v>≈ 52 €/h</v>
      </c>
      <c r="E54" s="60"/>
      <c r="F54" s="60" t="s">
        <v>397</v>
      </c>
      <c r="G54" s="58"/>
      <c r="H54" s="58"/>
      <c r="I54" s="58"/>
    </row>
    <row r="55" spans="1:9" ht="39" customHeight="1" x14ac:dyDescent="0.3">
      <c r="A55" s="58"/>
      <c r="B55" s="114" t="s">
        <v>398</v>
      </c>
      <c r="C55" s="63"/>
      <c r="D55" s="63" t="s">
        <v>399</v>
      </c>
      <c r="E55" s="63"/>
      <c r="F55" s="63" t="s">
        <v>400</v>
      </c>
      <c r="G55" s="58"/>
      <c r="H55" s="58"/>
      <c r="I55" s="58"/>
    </row>
    <row r="56" spans="1:9" ht="39" customHeight="1" x14ac:dyDescent="0.3">
      <c r="A56" s="58"/>
      <c r="B56" s="113" t="s">
        <v>401</v>
      </c>
      <c r="C56" s="60"/>
      <c r="D56" s="60" t="s">
        <v>402</v>
      </c>
      <c r="E56" s="60"/>
      <c r="F56" s="60" t="s">
        <v>403</v>
      </c>
      <c r="G56" s="58"/>
      <c r="H56" s="58"/>
      <c r="I56" s="58"/>
    </row>
    <row r="57" spans="1:9" ht="26.25" customHeight="1" x14ac:dyDescent="0.3">
      <c r="A57" s="58"/>
      <c r="B57" s="114" t="s">
        <v>404</v>
      </c>
      <c r="C57" s="63"/>
      <c r="D57" s="63" t="str">
        <f>"→ "&amp;TEXT(SAISIE!C13,"# ##0")&amp;" €/an"</f>
        <v>→ 2 800 €/an</v>
      </c>
      <c r="E57" s="63"/>
      <c r="F57" s="63" t="s">
        <v>405</v>
      </c>
      <c r="G57" s="58"/>
      <c r="H57" s="58"/>
      <c r="I57" s="58"/>
    </row>
    <row r="58" spans="1:9" ht="26.25" customHeight="1" x14ac:dyDescent="0.3">
      <c r="A58" s="58"/>
      <c r="B58" s="113" t="s">
        <v>406</v>
      </c>
      <c r="C58" s="60"/>
      <c r="D58" s="60" t="str">
        <f>"→ "&amp;TEXT(SAISIE!C14,"# ##0")&amp;" €/sal/an"</f>
        <v>→ 1 000 €/sal/an</v>
      </c>
      <c r="E58" s="60"/>
      <c r="F58" s="60" t="s">
        <v>407</v>
      </c>
      <c r="G58" s="58"/>
      <c r="H58" s="58"/>
      <c r="I58" s="58"/>
    </row>
    <row r="59" spans="1:9" ht="39" customHeight="1" x14ac:dyDescent="0.3">
      <c r="A59" s="58"/>
      <c r="B59" s="114" t="s">
        <v>408</v>
      </c>
      <c r="C59" s="63"/>
      <c r="D59" s="63" t="s">
        <v>409</v>
      </c>
      <c r="E59" s="63"/>
      <c r="F59" s="63" t="s">
        <v>410</v>
      </c>
      <c r="G59" s="58"/>
      <c r="H59" s="58"/>
      <c r="I59" s="58"/>
    </row>
    <row r="60" spans="1:9" x14ac:dyDescent="0.3">
      <c r="A60" s="58"/>
      <c r="B60" s="58"/>
      <c r="C60" s="58"/>
      <c r="D60" s="58"/>
      <c r="E60" s="58"/>
      <c r="F60" s="58"/>
      <c r="G60" s="58"/>
      <c r="H60" s="58"/>
      <c r="I60" s="58"/>
    </row>
    <row r="61" spans="1:9" x14ac:dyDescent="0.3">
      <c r="A61" s="58"/>
      <c r="B61" s="58"/>
      <c r="C61" s="58"/>
      <c r="D61" s="58"/>
      <c r="E61" s="58"/>
      <c r="F61" s="58"/>
      <c r="G61" s="58"/>
      <c r="H61" s="58"/>
      <c r="I61" s="58"/>
    </row>
    <row r="62" spans="1:9" ht="27" customHeight="1" x14ac:dyDescent="0.3">
      <c r="A62" s="58"/>
      <c r="B62" s="19" t="s">
        <v>411</v>
      </c>
      <c r="C62" s="58"/>
      <c r="D62" s="58"/>
      <c r="E62" s="58"/>
      <c r="F62" s="58"/>
      <c r="G62" s="58"/>
      <c r="H62" s="58"/>
      <c r="I62" s="58"/>
    </row>
    <row r="63" spans="1:9" x14ac:dyDescent="0.3">
      <c r="A63" s="58"/>
      <c r="B63" s="16" t="s">
        <v>312</v>
      </c>
      <c r="C63" s="16" t="s">
        <v>412</v>
      </c>
      <c r="D63" s="16" t="s">
        <v>413</v>
      </c>
      <c r="E63" s="16" t="s">
        <v>414</v>
      </c>
      <c r="F63" s="16" t="s">
        <v>415</v>
      </c>
      <c r="G63" s="16" t="s">
        <v>416</v>
      </c>
      <c r="H63" s="16" t="s">
        <v>316</v>
      </c>
      <c r="I63" s="58"/>
    </row>
    <row r="64" spans="1:9" x14ac:dyDescent="0.3">
      <c r="A64" s="58"/>
      <c r="B64" s="60" t="str">
        <f>DIAGNOSTIC!B13</f>
        <v>M. Dupré</v>
      </c>
      <c r="C64" s="60">
        <f>IF(DIAGNOSTIC!B13="","",DIAGNOSTIC!F13)</f>
        <v>-33.5</v>
      </c>
      <c r="D64" s="61">
        <f>IF(DIAGNOSTIC!B13="","",SUMIF(SAISIE!C77:C89,SAISIE!C20,SAISIE!D77:D89)+SUMPRODUCT((SAISIE!C77:C89="Équipe")*SAISIE!D77:D89))</f>
        <v>31.5</v>
      </c>
      <c r="E64" s="61">
        <f>IF(DIAGNOSTIC!B13="","",SUMIF(SAISIE!C95:C107,SAISIE!C20,SAISIE!E95:E107))</f>
        <v>3.5</v>
      </c>
      <c r="F64" s="61">
        <f>IF(DIAGNOSTIC!B13="","",D64+E64)</f>
        <v>35</v>
      </c>
      <c r="G64" s="61">
        <f>IF(DIAGNOSTIC!B13="","",C64+F64)</f>
        <v>1.5</v>
      </c>
      <c r="H64" s="115" t="str">
        <f>IF(DIAGNOSTIC!B13="","",IF(C64&gt;=0,"✅ Déjà conforme",IF(G64&gt;=0,"✅ Résolu","🟠 Partiel ("&amp;TEXT(ABS(G64),"0.#")&amp;"h restantes)")))</f>
        <v>✅ Résolu</v>
      </c>
      <c r="I64" s="58"/>
    </row>
    <row r="65" spans="1:10" x14ac:dyDescent="0.3">
      <c r="A65" s="58"/>
      <c r="B65" s="63" t="str">
        <f>DIAGNOSTIC!B14</f>
        <v>L. Martin</v>
      </c>
      <c r="C65" s="63">
        <f>IF(DIAGNOSTIC!B14="","",DIAGNOSTIC!F14)</f>
        <v>-22.5</v>
      </c>
      <c r="D65" s="64">
        <f>IF(DIAGNOSTIC!B14="","",SUMIF(SAISIE!C77:C89,SAISIE!C21,SAISIE!D77:D89)+SUMPRODUCT((SAISIE!C77:C89="Équipe")*SAISIE!D77:D89))</f>
        <v>3.5</v>
      </c>
      <c r="E65" s="64">
        <f>IF(DIAGNOSTIC!B14="","",SUMIF(SAISIE!C95:C107,SAISIE!C21,SAISIE!E95:E107))</f>
        <v>24.5</v>
      </c>
      <c r="F65" s="64">
        <f>IF(DIAGNOSTIC!B14="","",D65+E65)</f>
        <v>28</v>
      </c>
      <c r="G65" s="64">
        <f>IF(DIAGNOSTIC!B14="","",C65+F65)</f>
        <v>5.5</v>
      </c>
      <c r="H65" s="115" t="str">
        <f>IF(DIAGNOSTIC!B14="","",IF(C65&gt;=0,"✅ Déjà conforme",IF(G65&gt;=0,"✅ Résolu","🟠 Partiel ("&amp;TEXT(ABS(G65),"0.#")&amp;"h restantes)")))</f>
        <v>✅ Résolu</v>
      </c>
      <c r="I65" s="58"/>
    </row>
    <row r="66" spans="1:10" x14ac:dyDescent="0.3">
      <c r="A66" s="58"/>
      <c r="B66" s="60" t="str">
        <f>DIAGNOSTIC!B15</f>
        <v>M. Lambert</v>
      </c>
      <c r="C66" s="60">
        <f>IF(DIAGNOSTIC!B15="","",DIAGNOSTIC!F15)</f>
        <v>-43</v>
      </c>
      <c r="D66" s="61">
        <f>IF(DIAGNOSTIC!B15="","",SUMIF(SAISIE!C77:C89,SAISIE!C22,SAISIE!D77:D89)+SUMPRODUCT((SAISIE!C77:C89="Équipe")*SAISIE!D77:D89))</f>
        <v>24.5</v>
      </c>
      <c r="E66" s="61">
        <f>IF(DIAGNOSTIC!B15="","",SUMIF(SAISIE!C95:C107,SAISIE!C22,SAISIE!E95:E107))</f>
        <v>21</v>
      </c>
      <c r="F66" s="61">
        <f>IF(DIAGNOSTIC!B15="","",D66+E66)</f>
        <v>45.5</v>
      </c>
      <c r="G66" s="61">
        <f>IF(DIAGNOSTIC!B15="","",C66+F66)</f>
        <v>2.5</v>
      </c>
      <c r="H66" s="115" t="str">
        <f>IF(DIAGNOSTIC!B15="","",IF(C66&gt;=0,"✅ Déjà conforme",IF(G66&gt;=0,"✅ Résolu","🟠 Partiel ("&amp;TEXT(ABS(G66),"0.#")&amp;"h restantes)")))</f>
        <v>✅ Résolu</v>
      </c>
      <c r="I66" s="58"/>
    </row>
    <row r="67" spans="1:10" x14ac:dyDescent="0.3">
      <c r="A67" s="58"/>
      <c r="B67" s="63" t="str">
        <f>DIAGNOSTIC!B16</f>
        <v>T. Renaud</v>
      </c>
      <c r="C67" s="63">
        <f>IF(DIAGNOSTIC!B16="","",DIAGNOSTIC!F16)</f>
        <v>-71</v>
      </c>
      <c r="D67" s="64">
        <f>IF(DIAGNOSTIC!B16="","",SUMIF(SAISIE!C77:C89,SAISIE!C23,SAISIE!D77:D89)+SUMPRODUCT((SAISIE!C77:C89="Équipe")*SAISIE!D77:D89))</f>
        <v>56</v>
      </c>
      <c r="E67" s="64">
        <f>IF(DIAGNOSTIC!B16="","",SUMIF(SAISIE!C95:C107,SAISIE!C23,SAISIE!E95:E107))</f>
        <v>24.5</v>
      </c>
      <c r="F67" s="64">
        <f>IF(DIAGNOSTIC!B16="","",D67+E67)</f>
        <v>80.5</v>
      </c>
      <c r="G67" s="64">
        <f>IF(DIAGNOSTIC!B16="","",C67+F67)</f>
        <v>9.5</v>
      </c>
      <c r="H67" s="115" t="str">
        <f>IF(DIAGNOSTIC!B16="","",IF(C67&gt;=0,"✅ Déjà conforme",IF(G67&gt;=0,"✅ Résolu","🟠 Partiel ("&amp;TEXT(ABS(G67),"0.#")&amp;"h restantes)")))</f>
        <v>✅ Résolu</v>
      </c>
      <c r="I67" s="58"/>
    </row>
    <row r="68" spans="1:10" x14ac:dyDescent="0.3">
      <c r="A68" s="58"/>
      <c r="B68" s="66" t="str">
        <f>DIAGNOSTIC!B17</f>
        <v/>
      </c>
      <c r="C68" s="22" t="str">
        <f>IF(DIAGNOSTIC!B17="","",DIAGNOSTIC!F17)</f>
        <v/>
      </c>
      <c r="D68" s="22" t="str">
        <f>IF(DIAGNOSTIC!B17="","",SUMIF(SAISIE!C77:C89,SAISIE!C24,SAISIE!D77:D89)+SUMPRODUCT((SAISIE!C77:C89="Équipe")*SAISIE!D77:D89))</f>
        <v/>
      </c>
      <c r="E68" s="22" t="str">
        <f>IF(DIAGNOSTIC!B17="","",SUMIF(SAISIE!C95:C107,SAISIE!C24,SAISIE!E95:E107))</f>
        <v/>
      </c>
      <c r="F68" s="22" t="str">
        <f>IF(DIAGNOSTIC!B17="","",D68+E68)</f>
        <v/>
      </c>
      <c r="G68" s="22" t="str">
        <f>IF(DIAGNOSTIC!B17="","",C68+F68)</f>
        <v/>
      </c>
      <c r="H68" s="66" t="str">
        <f>IF(DIAGNOSTIC!B17="","",IF(C68&gt;=0,"✅ Déjà conforme",IF(G68&gt;=0,"✅ Résolu","🟠 Partiel ("&amp;TEXT(ABS(G68),"0.#")&amp;"h restantes)")))</f>
        <v/>
      </c>
      <c r="I68" s="58"/>
    </row>
    <row r="69" spans="1:10" x14ac:dyDescent="0.3">
      <c r="A69" s="58"/>
      <c r="B69" s="116" t="str">
        <f>DIAGNOSTIC!B18</f>
        <v/>
      </c>
      <c r="C69" s="117" t="str">
        <f>IF(DIAGNOSTIC!B18="","",DIAGNOSTIC!F18)</f>
        <v/>
      </c>
      <c r="D69" s="117" t="str">
        <f>IF(DIAGNOSTIC!B18="","",SUMIF(SAISIE!C77:C89,SAISIE!C25,SAISIE!D77:D89)+SUMPRODUCT((SAISIE!C77:C89="Équipe")*SAISIE!D77:D89))</f>
        <v/>
      </c>
      <c r="E69" s="117" t="str">
        <f>IF(DIAGNOSTIC!B18="","",SUMIF(SAISIE!C95:C107,SAISIE!C25,SAISIE!E95:E107))</f>
        <v/>
      </c>
      <c r="F69" s="117" t="str">
        <f>IF(DIAGNOSTIC!B18="","",D69+E69)</f>
        <v/>
      </c>
      <c r="G69" s="117" t="str">
        <f>IF(DIAGNOSTIC!B18="","",C69+F69)</f>
        <v/>
      </c>
      <c r="H69" s="116" t="str">
        <f>IF(DIAGNOSTIC!B18="","",IF(C69&gt;=0,"✅ Déjà conforme",IF(G69&gt;=0,"✅ Résolu","🟠 Partiel ("&amp;TEXT(ABS(G69),"0.#")&amp;"h restantes)")))</f>
        <v/>
      </c>
      <c r="I69" s="58"/>
    </row>
    <row r="70" spans="1:10" x14ac:dyDescent="0.3">
      <c r="A70" s="58"/>
      <c r="B70" s="116" t="str">
        <f>DIAGNOSTIC!B19</f>
        <v/>
      </c>
      <c r="C70" s="117" t="str">
        <f>IF(DIAGNOSTIC!B19="","",DIAGNOSTIC!F19)</f>
        <v/>
      </c>
      <c r="D70" s="117" t="str">
        <f>IF(DIAGNOSTIC!B19="","",SUMIF(SAISIE!C77:C89,SAISIE!C26,SAISIE!D77:D89)+SUMPRODUCT((SAISIE!C77:C89="Équipe")*SAISIE!D77:D89))</f>
        <v/>
      </c>
      <c r="E70" s="117" t="str">
        <f>IF(DIAGNOSTIC!B19="","",SUMIF(SAISIE!C95:C107,SAISIE!C26,SAISIE!E95:E107))</f>
        <v/>
      </c>
      <c r="F70" s="117" t="str">
        <f>IF(DIAGNOSTIC!B19="","",D70+E70)</f>
        <v/>
      </c>
      <c r="G70" s="117" t="str">
        <f>IF(DIAGNOSTIC!B19="","",C70+F70)</f>
        <v/>
      </c>
      <c r="H70" s="116" t="str">
        <f>IF(DIAGNOSTIC!B19="","",IF(C70&gt;=0,"✅ Déjà conforme",IF(G70&gt;=0,"✅ Résolu","🟠 Partiel ("&amp;TEXT(ABS(G70),"0.#")&amp;"h restantes)")))</f>
        <v/>
      </c>
      <c r="I70" s="58"/>
    </row>
    <row r="71" spans="1:10" x14ac:dyDescent="0.3">
      <c r="A71" s="58"/>
      <c r="B71" s="116" t="str">
        <f>DIAGNOSTIC!B20</f>
        <v/>
      </c>
      <c r="C71" s="117" t="str">
        <f>IF(DIAGNOSTIC!B20="","",DIAGNOSTIC!F20)</f>
        <v/>
      </c>
      <c r="D71" s="117" t="str">
        <f>IF(DIAGNOSTIC!B20="","",SUMIF(SAISIE!C77:C89,SAISIE!C27,SAISIE!D77:D89)+SUMPRODUCT((SAISIE!C77:C89="Équipe")*SAISIE!D77:D89))</f>
        <v/>
      </c>
      <c r="E71" s="117" t="str">
        <f>IF(DIAGNOSTIC!B20="","",SUMIF(SAISIE!C95:C107,SAISIE!C27,SAISIE!E95:E107))</f>
        <v/>
      </c>
      <c r="F71" s="117" t="str">
        <f>IF(DIAGNOSTIC!B20="","",D71+E71)</f>
        <v/>
      </c>
      <c r="G71" s="117" t="str">
        <f>IF(DIAGNOSTIC!B20="","",C71+F71)</f>
        <v/>
      </c>
      <c r="H71" s="116" t="str">
        <f>IF(DIAGNOSTIC!B20="","",IF(C71&gt;=0,"✅ Déjà conforme",IF(G71&gt;=0,"✅ Résolu","🟠 Partiel ("&amp;TEXT(ABS(G71),"0.#")&amp;"h restantes)")))</f>
        <v/>
      </c>
      <c r="I71" s="58"/>
    </row>
    <row r="72" spans="1:10" x14ac:dyDescent="0.3">
      <c r="A72" s="58"/>
      <c r="B72" s="116" t="str">
        <f>DIAGNOSTIC!B21</f>
        <v/>
      </c>
      <c r="C72" s="117" t="str">
        <f>IF(DIAGNOSTIC!B21="","",DIAGNOSTIC!F21)</f>
        <v/>
      </c>
      <c r="D72" s="117" t="str">
        <f>IF(DIAGNOSTIC!B21="","",SUMIF(SAISIE!C77:C89,SAISIE!C28,SAISIE!D77:D89)+SUMPRODUCT((SAISIE!C77:C89="Équipe")*SAISIE!D77:D89))</f>
        <v/>
      </c>
      <c r="E72" s="117" t="str">
        <f>IF(DIAGNOSTIC!B21="","",SUMIF(SAISIE!C95:C107,SAISIE!C28,SAISIE!E95:E107))</f>
        <v/>
      </c>
      <c r="F72" s="117" t="str">
        <f>IF(DIAGNOSTIC!B21="","",D72+E72)</f>
        <v/>
      </c>
      <c r="G72" s="117" t="str">
        <f>IF(DIAGNOSTIC!B21="","",C72+F72)</f>
        <v/>
      </c>
      <c r="H72" s="116" t="str">
        <f>IF(DIAGNOSTIC!B21="","",IF(C72&gt;=0,"✅ Déjà conforme",IF(G72&gt;=0,"✅ Résolu","🟠 Partiel ("&amp;TEXT(ABS(G72),"0.#")&amp;"h restantes)")))</f>
        <v/>
      </c>
      <c r="I72" s="58"/>
    </row>
    <row r="73" spans="1:10" x14ac:dyDescent="0.3">
      <c r="A73" s="58"/>
      <c r="B73" s="116" t="str">
        <f>DIAGNOSTIC!B22</f>
        <v/>
      </c>
      <c r="C73" s="117" t="str">
        <f>IF(DIAGNOSTIC!B22="","",DIAGNOSTIC!F22)</f>
        <v/>
      </c>
      <c r="D73" s="117" t="str">
        <f>IF(DIAGNOSTIC!B22="","",SUMIF(SAISIE!C77:C89,SAISIE!C29,SAISIE!D77:D89)+SUMPRODUCT((SAISIE!C77:C89="Équipe")*SAISIE!D77:D89))</f>
        <v/>
      </c>
      <c r="E73" s="117" t="str">
        <f>IF(DIAGNOSTIC!B22="","",SUMIF(SAISIE!C95:C107,SAISIE!C29,SAISIE!E95:E107))</f>
        <v/>
      </c>
      <c r="F73" s="117" t="str">
        <f>IF(DIAGNOSTIC!B22="","",D73+E73)</f>
        <v/>
      </c>
      <c r="G73" s="117" t="str">
        <f>IF(DIAGNOSTIC!B22="","",C73+F73)</f>
        <v/>
      </c>
      <c r="H73" s="116" t="str">
        <f>IF(DIAGNOSTIC!B22="","",IF(C73&gt;=0,"✅ Déjà conforme",IF(G73&gt;=0,"✅ Résolu","🟠 Partiel ("&amp;TEXT(ABS(G73),"0.#")&amp;"h restantes)")))</f>
        <v/>
      </c>
      <c r="I73" s="58"/>
    </row>
    <row r="74" spans="1:10" ht="21.75" customHeight="1" x14ac:dyDescent="0.3">
      <c r="A74" s="58"/>
      <c r="B74" s="192" t="s">
        <v>417</v>
      </c>
      <c r="C74" s="192"/>
      <c r="D74" s="192"/>
      <c r="E74" s="192"/>
      <c r="F74" s="192"/>
      <c r="G74" s="192"/>
      <c r="H74" s="192"/>
      <c r="I74" s="58"/>
    </row>
    <row r="76" spans="1:10" ht="27.75" customHeight="1" x14ac:dyDescent="0.3">
      <c r="B76" s="75" t="s">
        <v>418</v>
      </c>
      <c r="C76" s="118"/>
      <c r="D76" s="118"/>
      <c r="E76" s="118"/>
      <c r="F76" s="118"/>
      <c r="G76" s="118"/>
      <c r="H76" s="118"/>
      <c r="I76" s="118"/>
      <c r="J76" s="118"/>
    </row>
    <row r="77" spans="1:10" x14ac:dyDescent="0.3">
      <c r="B77" s="45" t="s">
        <v>215</v>
      </c>
      <c r="C77" s="45" t="s">
        <v>419</v>
      </c>
      <c r="D77" s="45" t="s">
        <v>420</v>
      </c>
      <c r="E77" s="45" t="s">
        <v>241</v>
      </c>
      <c r="F77" s="45" t="s">
        <v>244</v>
      </c>
      <c r="G77" s="45" t="s">
        <v>223</v>
      </c>
      <c r="H77" s="45" t="s">
        <v>230</v>
      </c>
      <c r="I77" s="45" t="s">
        <v>236</v>
      </c>
      <c r="J77" s="45" t="s">
        <v>253</v>
      </c>
    </row>
    <row r="78" spans="1:10" x14ac:dyDescent="0.3">
      <c r="B78" s="79" t="str">
        <f>IF(SAISIE!B77&lt;&gt;"",SAISIE!B77,"")</f>
        <v>IA dans l'exercice professionnel</v>
      </c>
      <c r="C78" s="119" t="str">
        <f>IF(SAISIE!C77&lt;&gt;"",SAISIE!C77,"")</f>
        <v>Lambert</v>
      </c>
      <c r="D78" s="120">
        <f>IF(SAISIE!D77&lt;&gt;"",SAISIE!D77,"")</f>
        <v>14</v>
      </c>
      <c r="E78" s="120" t="str">
        <f>IF(SAISIE!$J$77="Juil.",SAISIE!$D$77,"")</f>
        <v/>
      </c>
      <c r="F78" s="120" t="str">
        <f>IF(SAISIE!$J$77="Août",SAISIE!$D$77,"")</f>
        <v/>
      </c>
      <c r="G78" s="120">
        <f>IF(SAISIE!$J$77="Sept.",SAISIE!$D$77,"")</f>
        <v>14</v>
      </c>
      <c r="H78" s="120" t="str">
        <f>IF(SAISIE!$J$77="Oct.",SAISIE!$D$77,"")</f>
        <v/>
      </c>
      <c r="I78" s="120" t="str">
        <f>IF(SAISIE!$J$77="Nov.",SAISIE!$D$77,"")</f>
        <v/>
      </c>
      <c r="J78" s="120" t="str">
        <f>IF(SAISIE!$J$77="Déc.",SAISIE!$D$77,"")</f>
        <v/>
      </c>
    </row>
    <row r="79" spans="1:10" x14ac:dyDescent="0.3">
      <c r="B79" s="89" t="str">
        <f>IF(SAISIE!B78&lt;&gt;"",SAISIE!B78,"")</f>
        <v>Cybersécurité des cabinets</v>
      </c>
      <c r="C79" s="121" t="str">
        <f>IF(SAISIE!C78&lt;&gt;"",SAISIE!C78,"")</f>
        <v>Lambert</v>
      </c>
      <c r="D79" s="122">
        <f>IF(SAISIE!D78&lt;&gt;"",SAISIE!D78,"")</f>
        <v>7</v>
      </c>
      <c r="E79" s="122" t="str">
        <f>IF(SAISIE!$J$78="Juil.",SAISIE!$D$78,"")</f>
        <v/>
      </c>
      <c r="F79" s="122" t="str">
        <f>IF(SAISIE!$J$78="Août",SAISIE!$D$78,"")</f>
        <v/>
      </c>
      <c r="G79" s="122" t="str">
        <f>IF(SAISIE!$J$78="Sept.",SAISIE!$D$78,"")</f>
        <v/>
      </c>
      <c r="H79" s="122">
        <f>IF(SAISIE!$J$78="Oct.",SAISIE!$D$78,"")</f>
        <v>7</v>
      </c>
      <c r="I79" s="122" t="str">
        <f>IF(SAISIE!$J$78="Nov.",SAISIE!$D$78,"")</f>
        <v/>
      </c>
      <c r="J79" s="122" t="str">
        <f>IF(SAISIE!$J$78="Déc.",SAISIE!$D$78,"")</f>
        <v/>
      </c>
    </row>
    <row r="80" spans="1:10" x14ac:dyDescent="0.3">
      <c r="B80" s="79" t="str">
        <f>IF(SAISIE!B79&lt;&gt;"",SAISIE!B79,"")</f>
        <v>RGPD — Conformité cabinet EC</v>
      </c>
      <c r="C80" s="119" t="str">
        <f>IF(SAISIE!C79&lt;&gt;"",SAISIE!C79,"")</f>
        <v>Renaud</v>
      </c>
      <c r="D80" s="120">
        <f>IF(SAISIE!D79&lt;&gt;"",SAISIE!D79,"")</f>
        <v>7</v>
      </c>
      <c r="E80" s="120" t="str">
        <f>IF(SAISIE!$J$79="Juil.",SAISIE!$D$79,"")</f>
        <v/>
      </c>
      <c r="F80" s="120" t="str">
        <f>IF(SAISIE!$J$79="Août",SAISIE!$D$79,"")</f>
        <v/>
      </c>
      <c r="G80" s="120" t="str">
        <f>IF(SAISIE!$J$79="Sept.",SAISIE!$D$79,"")</f>
        <v/>
      </c>
      <c r="H80" s="120" t="str">
        <f>IF(SAISIE!$J$79="Oct.",SAISIE!$D$79,"")</f>
        <v/>
      </c>
      <c r="I80" s="120">
        <f>IF(SAISIE!$J$79="Nov.",SAISIE!$D$79,"")</f>
        <v>7</v>
      </c>
      <c r="J80" s="120" t="str">
        <f>IF(SAISIE!$J$79="Déc.",SAISIE!$D$79,"")</f>
        <v/>
      </c>
    </row>
    <row r="81" spans="2:10" x14ac:dyDescent="0.3">
      <c r="B81" s="89" t="str">
        <f>IF(SAISIE!B80&lt;&gt;"",SAISIE!B80,"")</f>
        <v>E-facture 2026 — Réforme PA</v>
      </c>
      <c r="C81" s="121" t="str">
        <f>IF(SAISIE!C80&lt;&gt;"",SAISIE!C80,"")</f>
        <v>Dupré</v>
      </c>
      <c r="D81" s="122">
        <f>IF(SAISIE!D80&lt;&gt;"",SAISIE!D80,"")</f>
        <v>14</v>
      </c>
      <c r="E81" s="122" t="str">
        <f>IF(SAISIE!$J$80="Juil.",SAISIE!$D$80,"")</f>
        <v/>
      </c>
      <c r="F81" s="122" t="str">
        <f>IF(SAISIE!$J$80="Août",SAISIE!$D$80,"")</f>
        <v/>
      </c>
      <c r="G81" s="122" t="str">
        <f>IF(SAISIE!$J$80="Sept.",SAISIE!$D$80,"")</f>
        <v/>
      </c>
      <c r="H81" s="122">
        <f>IF(SAISIE!$J$80="Oct.",SAISIE!$D$80,"")</f>
        <v>14</v>
      </c>
      <c r="I81" s="122" t="str">
        <f>IF(SAISIE!$J$80="Nov.",SAISIE!$D$80,"")</f>
        <v/>
      </c>
      <c r="J81" s="122" t="str">
        <f>IF(SAISIE!$J$80="Déc.",SAISIE!$D$80,"")</f>
        <v/>
      </c>
    </row>
    <row r="82" spans="2:10" x14ac:dyDescent="0.3">
      <c r="B82" s="79" t="str">
        <f>IF(SAISIE!B81&lt;&gt;"",SAISIE!B81,"")</f>
        <v>LCB-FT vigilance annuelle</v>
      </c>
      <c r="C82" s="119" t="str">
        <f>IF(SAISIE!C81&lt;&gt;"",SAISIE!C81,"")</f>
        <v>Équipe</v>
      </c>
      <c r="D82" s="120">
        <f>IF(SAISIE!D81&lt;&gt;"",SAISIE!D81,"")</f>
        <v>3.5</v>
      </c>
      <c r="E82" s="120">
        <f>IF(SAISIE!$J$81="Juil.",SAISIE!$D$81,"")</f>
        <v>3.5</v>
      </c>
      <c r="F82" s="120" t="str">
        <f>IF(SAISIE!$J$81="Août",SAISIE!$D$81,"")</f>
        <v/>
      </c>
      <c r="G82" s="120" t="str">
        <f>IF(SAISIE!$J$81="Sept.",SAISIE!$D$81,"")</f>
        <v/>
      </c>
      <c r="H82" s="120" t="str">
        <f>IF(SAISIE!$J$81="Oct.",SAISIE!$D$81,"")</f>
        <v/>
      </c>
      <c r="I82" s="120" t="str">
        <f>IF(SAISIE!$J$81="Nov.",SAISIE!$D$81,"")</f>
        <v/>
      </c>
      <c r="J82" s="120" t="str">
        <f>IF(SAISIE!$J$81="Déc.",SAISIE!$D$81,"")</f>
        <v/>
      </c>
    </row>
    <row r="83" spans="2:10" x14ac:dyDescent="0.3">
      <c r="B83" s="89" t="str">
        <f>IF(SAISIE!B82&lt;&gt;"",SAISIE!B82,"")</f>
        <v>Déontologie &amp; normes 2026</v>
      </c>
      <c r="C83" s="121" t="str">
        <f>IF(SAISIE!C82&lt;&gt;"",SAISIE!C82,"")</f>
        <v>Dupré</v>
      </c>
      <c r="D83" s="122">
        <f>IF(SAISIE!D82&lt;&gt;"",SAISIE!D82,"")</f>
        <v>7</v>
      </c>
      <c r="E83" s="122" t="str">
        <f>IF(SAISIE!$J$82="Juil.",SAISIE!$D$82,"")</f>
        <v/>
      </c>
      <c r="F83" s="122">
        <f>IF(SAISIE!$J$82="Août",SAISIE!$D$82,"")</f>
        <v>7</v>
      </c>
      <c r="G83" s="122" t="str">
        <f>IF(SAISIE!$J$82="Sept.",SAISIE!$D$82,"")</f>
        <v/>
      </c>
      <c r="H83" s="122" t="str">
        <f>IF(SAISIE!$J$82="Oct.",SAISIE!$D$82,"")</f>
        <v/>
      </c>
      <c r="I83" s="122" t="str">
        <f>IF(SAISIE!$J$82="Nov.",SAISIE!$D$82,"")</f>
        <v/>
      </c>
      <c r="J83" s="122" t="str">
        <f>IF(SAISIE!$J$82="Déc.",SAISIE!$D$82,"")</f>
        <v/>
      </c>
    </row>
    <row r="84" spans="2:10" x14ac:dyDescent="0.3">
      <c r="B84" s="79" t="str">
        <f>IF(SAISIE!B83&lt;&gt;"",SAISIE!B83,"")</f>
        <v>Signature électronique avancée</v>
      </c>
      <c r="C84" s="119" t="str">
        <f>IF(SAISIE!C83&lt;&gt;"",SAISIE!C83,"")</f>
        <v>Renaud</v>
      </c>
      <c r="D84" s="120">
        <f>IF(SAISIE!D83&lt;&gt;"",SAISIE!D83,"")</f>
        <v>7</v>
      </c>
      <c r="E84" s="120" t="str">
        <f>IF(SAISIE!$J$83="Juil.",SAISIE!$D$83,"")</f>
        <v/>
      </c>
      <c r="F84" s="120" t="str">
        <f>IF(SAISIE!$J$83="Août",SAISIE!$D$83,"")</f>
        <v/>
      </c>
      <c r="G84" s="120" t="str">
        <f>IF(SAISIE!$J$83="Sept.",SAISIE!$D$83,"")</f>
        <v/>
      </c>
      <c r="H84" s="120" t="str">
        <f>IF(SAISIE!$J$83="Oct.",SAISIE!$D$83,"")</f>
        <v/>
      </c>
      <c r="I84" s="120">
        <f>IF(SAISIE!$J$83="Nov.",SAISIE!$D$83,"")</f>
        <v>7</v>
      </c>
      <c r="J84" s="120" t="str">
        <f>IF(SAISIE!$J$83="Déc.",SAISIE!$D$83,"")</f>
        <v/>
      </c>
    </row>
    <row r="85" spans="2:10" x14ac:dyDescent="0.3">
      <c r="B85" s="89" t="str">
        <f>IF(SAISIE!B84&lt;&gt;"",SAISIE!B84,"")</f>
        <v>GED &amp; archivage probant</v>
      </c>
      <c r="C85" s="121" t="str">
        <f>IF(SAISIE!C84&lt;&gt;"",SAISIE!C84,"")</f>
        <v>Renaud</v>
      </c>
      <c r="D85" s="122">
        <f>IF(SAISIE!D84&lt;&gt;"",SAISIE!D84,"")</f>
        <v>7</v>
      </c>
      <c r="E85" s="122" t="str">
        <f>IF(SAISIE!$J$84="Juil.",SAISIE!$D$84,"")</f>
        <v/>
      </c>
      <c r="F85" s="122" t="str">
        <f>IF(SAISIE!$J$84="Août",SAISIE!$D$84,"")</f>
        <v/>
      </c>
      <c r="G85" s="122" t="str">
        <f>IF(SAISIE!$J$84="Sept.",SAISIE!$D$84,"")</f>
        <v/>
      </c>
      <c r="H85" s="122" t="str">
        <f>IF(SAISIE!$J$84="Oct.",SAISIE!$D$84,"")</f>
        <v/>
      </c>
      <c r="I85" s="122" t="str">
        <f>IF(SAISIE!$J$84="Nov.",SAISIE!$D$84,"")</f>
        <v/>
      </c>
      <c r="J85" s="122">
        <f>IF(SAISIE!$J$84="Déc.",SAISIE!$D$84,"")</f>
        <v>7</v>
      </c>
    </row>
    <row r="86" spans="2:10" ht="26.25" customHeight="1" x14ac:dyDescent="0.3">
      <c r="B86" s="79" t="str">
        <f>IF(SAISIE!B85&lt;&gt;"",SAISIE!B85,"")</f>
        <v>Comptabilité avancée — Arrêté et consolidation</v>
      </c>
      <c r="C86" s="119" t="str">
        <f>IF(SAISIE!C85&lt;&gt;"",SAISIE!C85,"")</f>
        <v>Renaud</v>
      </c>
      <c r="D86" s="120">
        <f>IF(SAISIE!D85&lt;&gt;"",SAISIE!D85,"")</f>
        <v>14</v>
      </c>
      <c r="E86" s="120">
        <f>IF(SAISIE!$J$85="Juil.",SAISIE!$D$85,"")</f>
        <v>14</v>
      </c>
      <c r="F86" s="120" t="str">
        <f>IF(SAISIE!$J$85="Août",SAISIE!$D$85,"")</f>
        <v/>
      </c>
      <c r="G86" s="120" t="str">
        <f>IF(SAISIE!$J$85="Sept.",SAISIE!$D$85,"")</f>
        <v/>
      </c>
      <c r="H86" s="120" t="str">
        <f>IF(SAISIE!$J$85="Oct.",SAISIE!$D$85,"")</f>
        <v/>
      </c>
      <c r="I86" s="120" t="str">
        <f>IF(SAISIE!$J$85="Nov.",SAISIE!$D$85,"")</f>
        <v/>
      </c>
      <c r="J86" s="120" t="str">
        <f>IF(SAISIE!$J$85="Déc.",SAISIE!$D$85,"")</f>
        <v/>
      </c>
    </row>
    <row r="87" spans="2:10" ht="26.25" customHeight="1" x14ac:dyDescent="0.3">
      <c r="B87" s="89" t="str">
        <f>IF(SAISIE!B86&lt;&gt;"",SAISIE!B86,"")</f>
        <v>Outils SaaS avancés — Automatisation flux</v>
      </c>
      <c r="C87" s="121" t="str">
        <f>IF(SAISIE!C86&lt;&gt;"",SAISIE!C86,"")</f>
        <v>Renaud</v>
      </c>
      <c r="D87" s="122">
        <f>IF(SAISIE!D86&lt;&gt;"",SAISIE!D86,"")</f>
        <v>7</v>
      </c>
      <c r="E87" s="122" t="str">
        <f>IF(SAISIE!$J$86="Juil.",SAISIE!$D$86,"")</f>
        <v/>
      </c>
      <c r="F87" s="122" t="str">
        <f>IF(SAISIE!$J$86="Août",SAISIE!$D$86,"")</f>
        <v/>
      </c>
      <c r="G87" s="122" t="str">
        <f>IF(SAISIE!$J$86="Sept.",SAISIE!$D$86,"")</f>
        <v/>
      </c>
      <c r="H87" s="122">
        <f>IF(SAISIE!$J$86="Oct.",SAISIE!$D$86,"")</f>
        <v>7</v>
      </c>
      <c r="I87" s="122" t="str">
        <f>IF(SAISIE!$J$86="Nov.",SAISIE!$D$86,"")</f>
        <v/>
      </c>
      <c r="J87" s="122" t="str">
        <f>IF(SAISIE!$J$86="Déc.",SAISIE!$D$86,"")</f>
        <v/>
      </c>
    </row>
    <row r="88" spans="2:10" ht="26.25" customHeight="1" x14ac:dyDescent="0.3">
      <c r="B88" s="79" t="str">
        <f>IF(SAISIE!B87&lt;&gt;"",SAISIE!B87,"")</f>
        <v>Communication digitale — Relation client</v>
      </c>
      <c r="C88" s="119" t="str">
        <f>IF(SAISIE!C87&lt;&gt;"",SAISIE!C87,"")</f>
        <v>Renaud</v>
      </c>
      <c r="D88" s="120">
        <f>IF(SAISIE!D87&lt;&gt;"",SAISIE!D87,"")</f>
        <v>7</v>
      </c>
      <c r="E88" s="120" t="str">
        <f>IF(SAISIE!$J$87="Juil.",SAISIE!$D$87,"")</f>
        <v/>
      </c>
      <c r="F88" s="120" t="str">
        <f>IF(SAISIE!$J$87="Août",SAISIE!$D$87,"")</f>
        <v/>
      </c>
      <c r="G88" s="120">
        <f>IF(SAISIE!$J$87="Sept.",SAISIE!$D$87,"")</f>
        <v>7</v>
      </c>
      <c r="H88" s="120" t="str">
        <f>IF(SAISIE!$J$87="Oct.",SAISIE!$D$87,"")</f>
        <v/>
      </c>
      <c r="I88" s="120" t="str">
        <f>IF(SAISIE!$J$87="Nov.",SAISIE!$D$87,"")</f>
        <v/>
      </c>
      <c r="J88" s="120" t="str">
        <f>IF(SAISIE!$J$87="Déc.",SAISIE!$D$87,"")</f>
        <v/>
      </c>
    </row>
    <row r="89" spans="2:10" ht="26.25" customHeight="1" x14ac:dyDescent="0.3">
      <c r="B89" s="89" t="str">
        <f>IF(SAISIE!B88&lt;&gt;"",SAISIE!B88,"")</f>
        <v>Veille réglementaire IA — AI Act application</v>
      </c>
      <c r="C89" s="121" t="str">
        <f>IF(SAISIE!C88&lt;&gt;"",SAISIE!C88,"")</f>
        <v>Dupré</v>
      </c>
      <c r="D89" s="122">
        <f>IF(SAISIE!D88&lt;&gt;"",SAISIE!D88,"")</f>
        <v>7</v>
      </c>
      <c r="E89" s="122" t="str">
        <f>IF(SAISIE!$J$88="Juil.",SAISIE!$D$88,"")</f>
        <v/>
      </c>
      <c r="F89" s="122" t="str">
        <f>IF(SAISIE!$J$88="Août",SAISIE!$D$88,"")</f>
        <v/>
      </c>
      <c r="G89" s="122">
        <f>IF(SAISIE!$J$88="Sept.",SAISIE!$D$88,"")</f>
        <v>7</v>
      </c>
      <c r="H89" s="122" t="str">
        <f>IF(SAISIE!$J$88="Oct.",SAISIE!$D$88,"")</f>
        <v/>
      </c>
      <c r="I89" s="122" t="str">
        <f>IF(SAISIE!$J$88="Nov.",SAISIE!$D$88,"")</f>
        <v/>
      </c>
      <c r="J89" s="122" t="str">
        <f>IF(SAISIE!$J$88="Déc.",SAISIE!$D$88,"")</f>
        <v/>
      </c>
    </row>
    <row r="90" spans="2:10" ht="26.25" customHeight="1" x14ac:dyDescent="0.3">
      <c r="B90" s="79" t="str">
        <f>IF(SAISIE!B89&lt;&gt;"",SAISIE!B89,"")</f>
        <v>PIX I Atlas — Évaluation compétences numériques</v>
      </c>
      <c r="C90" s="119" t="str">
        <f>IF(SAISIE!C89&lt;&gt;"",SAISIE!C89,"")</f>
        <v>Renaud</v>
      </c>
      <c r="D90" s="120">
        <f>IF(SAISIE!D89&lt;&gt;"",SAISIE!D89,"")</f>
        <v>3.5</v>
      </c>
      <c r="E90" s="120">
        <f>IF(SAISIE!$J$89="Juil.",SAISIE!$D$89,"")</f>
        <v>3.5</v>
      </c>
      <c r="F90" s="120" t="str">
        <f>IF(SAISIE!$J$89="Août",SAISIE!$D$89,"")</f>
        <v/>
      </c>
      <c r="G90" s="120" t="str">
        <f>IF(SAISIE!$J$89="Sept.",SAISIE!$D$89,"")</f>
        <v/>
      </c>
      <c r="H90" s="120" t="str">
        <f>IF(SAISIE!$J$89="Oct.",SAISIE!$D$89,"")</f>
        <v/>
      </c>
      <c r="I90" s="120" t="str">
        <f>IF(SAISIE!$J$89="Nov.",SAISIE!$D$89,"")</f>
        <v/>
      </c>
      <c r="J90" s="120" t="str">
        <f>IF(SAISIE!$J$89="Déc.",SAISIE!$D$89,"")</f>
        <v/>
      </c>
    </row>
    <row r="91" spans="2:10" x14ac:dyDescent="0.3">
      <c r="B91" s="123" t="s">
        <v>421</v>
      </c>
      <c r="C91" s="124"/>
      <c r="D91" s="125">
        <f t="shared" ref="D91:J91" si="0">SUM(D78:D90)</f>
        <v>105</v>
      </c>
      <c r="E91" s="125">
        <f t="shared" si="0"/>
        <v>21</v>
      </c>
      <c r="F91" s="125">
        <f t="shared" si="0"/>
        <v>7</v>
      </c>
      <c r="G91" s="125">
        <f t="shared" si="0"/>
        <v>28</v>
      </c>
      <c r="H91" s="125">
        <f t="shared" si="0"/>
        <v>28</v>
      </c>
      <c r="I91" s="125">
        <f t="shared" si="0"/>
        <v>14</v>
      </c>
      <c r="J91" s="125">
        <f t="shared" si="0"/>
        <v>7</v>
      </c>
    </row>
    <row r="92" spans="2:10" ht="14.25" customHeight="1" x14ac:dyDescent="0.3">
      <c r="B92" s="189" t="s">
        <v>422</v>
      </c>
      <c r="C92" s="189"/>
      <c r="D92" s="189"/>
      <c r="E92" s="189"/>
      <c r="F92" s="189"/>
      <c r="G92" s="189"/>
      <c r="H92" s="189"/>
      <c r="I92" s="189"/>
      <c r="J92" s="189"/>
    </row>
    <row r="93" spans="2:10" x14ac:dyDescent="0.3">
      <c r="B93" s="118"/>
      <c r="C93" s="118"/>
      <c r="D93" s="118"/>
      <c r="E93" s="118"/>
      <c r="F93" s="118"/>
      <c r="G93" s="118"/>
      <c r="H93" s="118"/>
      <c r="I93" s="118"/>
      <c r="J93" s="118"/>
    </row>
    <row r="94" spans="2:10" x14ac:dyDescent="0.3">
      <c r="B94" s="118"/>
      <c r="C94" s="118"/>
      <c r="D94" s="118"/>
      <c r="E94" s="118"/>
      <c r="F94" s="118"/>
      <c r="G94" s="118"/>
      <c r="H94" s="118"/>
      <c r="I94" s="118"/>
      <c r="J94" s="118"/>
    </row>
    <row r="95" spans="2:10" x14ac:dyDescent="0.3">
      <c r="B95" s="118"/>
      <c r="C95" s="118"/>
      <c r="D95" s="118"/>
      <c r="E95" s="118"/>
      <c r="F95" s="118"/>
      <c r="G95" s="118"/>
      <c r="H95" s="118"/>
      <c r="I95" s="118"/>
      <c r="J95" s="118"/>
    </row>
  </sheetData>
  <sheetProtection algorithmName="SHA-512" hashValue="fKBCxDpqzI1Qr3oOJTlv9v80m7jHb/da47VVXh2P0dGrA6bhhUzfoPWgNz4R47Ow7RZHV4MPoh4XboDx4gaP8A==" saltValue="+Ouk+xR5DPLV6ho/cwIQXw==" spinCount="100000" sheet="1" objects="1" scenarios="1"/>
  <mergeCells count="6">
    <mergeCell ref="B92:J92"/>
    <mergeCell ref="B2:I2"/>
    <mergeCell ref="B3:I3"/>
    <mergeCell ref="B23:I23"/>
    <mergeCell ref="B32:I32"/>
    <mergeCell ref="B74:H74"/>
  </mergeCells>
  <pageMargins left="0.4" right="0.4" top="0.5" bottom="0.5" header="0.5" footer="0.5"/>
  <pageSetup paperSize="9" fitToHeight="0" orientation="landscape" horizontalDpi="300" verticalDpi="300"/>
  <headerFooter>
    <oddHeader>&amp;CANNEXE 22 — Plan d'action budget</oddHeader>
    <oddFooter>&amp;CPage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76"/>
  <sheetViews>
    <sheetView showGridLines="0" zoomScaleNormal="100" workbookViewId="0">
      <pane xSplit="1" ySplit="5" topLeftCell="B6" activePane="bottomRight" state="frozen"/>
      <selection pane="topRight" activeCell="B1" sqref="B1"/>
      <selection pane="bottomLeft" activeCell="A6" sqref="A6"/>
      <selection pane="bottomRight" activeCell="B3" sqref="B3:G3"/>
    </sheetView>
  </sheetViews>
  <sheetFormatPr baseColWidth="10" defaultColWidth="8.6640625" defaultRowHeight="14.4" x14ac:dyDescent="0.3"/>
  <cols>
    <col min="1" max="1" width="3" style="57" customWidth="1"/>
    <col min="2" max="2" width="34" style="57" customWidth="1"/>
    <col min="3" max="4" width="18" style="57" customWidth="1"/>
    <col min="5" max="6" width="14" style="57" customWidth="1"/>
    <col min="7" max="7" width="20" style="57" customWidth="1"/>
    <col min="8" max="16384" width="8.6640625" style="57"/>
  </cols>
  <sheetData>
    <row r="1" spans="1:7" x14ac:dyDescent="0.3">
      <c r="A1" s="58"/>
      <c r="B1" s="58"/>
      <c r="C1" s="58"/>
      <c r="D1" s="58"/>
      <c r="E1" s="58"/>
      <c r="F1" s="58"/>
      <c r="G1" s="58"/>
    </row>
    <row r="2" spans="1:7" ht="17.25" customHeight="1" x14ac:dyDescent="0.3">
      <c r="A2" s="58"/>
      <c r="B2" s="180" t="s">
        <v>423</v>
      </c>
      <c r="C2" s="180"/>
      <c r="D2" s="180"/>
      <c r="E2" s="180"/>
      <c r="F2" s="180"/>
      <c r="G2" s="180"/>
    </row>
    <row r="3" spans="1:7" ht="14.25" customHeight="1" x14ac:dyDescent="0.3">
      <c r="A3" s="58"/>
      <c r="B3" s="181" t="s">
        <v>424</v>
      </c>
      <c r="C3" s="181"/>
      <c r="D3" s="181"/>
      <c r="E3" s="181"/>
      <c r="F3" s="181"/>
      <c r="G3" s="181"/>
    </row>
    <row r="4" spans="1:7" ht="14.25" customHeight="1" x14ac:dyDescent="0.3">
      <c r="A4" s="58"/>
      <c r="B4" s="187" t="s">
        <v>425</v>
      </c>
      <c r="C4" s="187"/>
      <c r="D4" s="187"/>
      <c r="E4" s="187"/>
      <c r="F4" s="187"/>
      <c r="G4" s="187"/>
    </row>
    <row r="5" spans="1:7" x14ac:dyDescent="0.3">
      <c r="A5" s="58"/>
      <c r="B5" s="58"/>
      <c r="C5" s="58"/>
      <c r="D5" s="58"/>
      <c r="E5" s="58"/>
      <c r="F5" s="58"/>
      <c r="G5" s="58"/>
    </row>
    <row r="6" spans="1:7" x14ac:dyDescent="0.3">
      <c r="A6" s="58"/>
      <c r="B6" s="19" t="s">
        <v>426</v>
      </c>
      <c r="C6" s="58"/>
      <c r="D6" s="58"/>
      <c r="E6" s="58"/>
      <c r="F6" s="58"/>
      <c r="G6" s="58"/>
    </row>
    <row r="7" spans="1:7" x14ac:dyDescent="0.3">
      <c r="A7" s="58"/>
      <c r="B7" s="113" t="s">
        <v>427</v>
      </c>
      <c r="C7" s="113"/>
      <c r="D7" s="60" t="str">
        <f>SAISIE!C8</f>
        <v>Cabinet X</v>
      </c>
      <c r="E7" s="60"/>
      <c r="F7" s="60"/>
      <c r="G7" s="58"/>
    </row>
    <row r="8" spans="1:7" x14ac:dyDescent="0.3">
      <c r="A8" s="58"/>
      <c r="B8" s="114" t="s">
        <v>428</v>
      </c>
      <c r="C8" s="114"/>
      <c r="D8" s="63" t="str">
        <f>SAISIE!C9</f>
        <v>IDF-XXXXX</v>
      </c>
      <c r="E8" s="63"/>
      <c r="F8" s="63"/>
      <c r="G8" s="58"/>
    </row>
    <row r="9" spans="1:7" x14ac:dyDescent="0.3">
      <c r="A9" s="58"/>
      <c r="B9" s="113" t="s">
        <v>75</v>
      </c>
      <c r="C9" s="113"/>
      <c r="D9" s="60" t="str">
        <f>SAISIE!C10</f>
        <v>M. Dupré</v>
      </c>
      <c r="E9" s="60"/>
      <c r="F9" s="60"/>
      <c r="G9" s="58"/>
    </row>
    <row r="10" spans="1:7" x14ac:dyDescent="0.3">
      <c r="A10" s="58"/>
      <c r="B10" s="114" t="s">
        <v>307</v>
      </c>
      <c r="C10" s="114"/>
      <c r="D10" s="63">
        <f>SAISIE!E16</f>
        <v>3.8</v>
      </c>
      <c r="E10" s="63"/>
      <c r="F10" s="63"/>
      <c r="G10" s="58"/>
    </row>
    <row r="11" spans="1:7" ht="26.25" customHeight="1" x14ac:dyDescent="0.3">
      <c r="A11" s="58"/>
      <c r="B11" s="113" t="s">
        <v>80</v>
      </c>
      <c r="C11" s="113"/>
      <c r="D11" s="60" t="str">
        <f>SAISIE!C12&amp;" (CCN 3020)"</f>
        <v>OPCO Atlas (CCN 3020)</v>
      </c>
      <c r="E11" s="60"/>
      <c r="F11" s="60"/>
      <c r="G11" s="58"/>
    </row>
    <row r="12" spans="1:7" x14ac:dyDescent="0.3">
      <c r="A12" s="58"/>
      <c r="B12" s="114" t="s">
        <v>429</v>
      </c>
      <c r="C12" s="114"/>
      <c r="D12" s="126">
        <f ca="1">TODAY()</f>
        <v>46077</v>
      </c>
      <c r="E12" s="63"/>
      <c r="F12" s="63"/>
      <c r="G12" s="58"/>
    </row>
    <row r="13" spans="1:7" x14ac:dyDescent="0.3">
      <c r="A13" s="58"/>
      <c r="B13" s="58"/>
      <c r="C13" s="58"/>
      <c r="D13" s="58"/>
      <c r="E13" s="58"/>
      <c r="F13" s="58"/>
      <c r="G13" s="58"/>
    </row>
    <row r="14" spans="1:7" ht="27" customHeight="1" x14ac:dyDescent="0.3">
      <c r="A14" s="58"/>
      <c r="B14" s="19" t="s">
        <v>430</v>
      </c>
      <c r="C14" s="58"/>
      <c r="D14" s="58"/>
      <c r="E14" s="58"/>
      <c r="F14" s="58"/>
      <c r="G14" s="58"/>
    </row>
    <row r="15" spans="1:7" x14ac:dyDescent="0.3">
      <c r="A15" s="58"/>
      <c r="B15" s="16" t="s">
        <v>312</v>
      </c>
      <c r="C15" s="16"/>
      <c r="D15" s="16" t="s">
        <v>431</v>
      </c>
      <c r="E15" s="16" t="s">
        <v>432</v>
      </c>
      <c r="F15" s="16" t="s">
        <v>433</v>
      </c>
      <c r="G15" s="16" t="s">
        <v>316</v>
      </c>
    </row>
    <row r="16" spans="1:7" x14ac:dyDescent="0.3">
      <c r="A16" s="58"/>
      <c r="B16" s="60" t="str">
        <f>DIAGNOSTIC!B13</f>
        <v>M. Dupré</v>
      </c>
      <c r="C16" s="60"/>
      <c r="D16" s="61">
        <f>IF(DIAGNOSTIC!B13="","",DIAGNOSTIC!D13)</f>
        <v>86.5</v>
      </c>
      <c r="E16" s="61">
        <f>IF(DIAGNOSTIC!B13="","",DIAGNOSTIC!E13)</f>
        <v>120</v>
      </c>
      <c r="F16" s="61">
        <f>IF(DIAGNOSTIC!B13="","",DIAGNOSTIC!F13)</f>
        <v>-33.5</v>
      </c>
      <c r="G16" s="60" t="str">
        <f>IF(DIAGNOSTIC!B13="","",DIAGNOSTIC!G13)</f>
        <v>🔴 Non conforme</v>
      </c>
    </row>
    <row r="17" spans="1:7" x14ac:dyDescent="0.3">
      <c r="A17" s="58"/>
      <c r="B17" s="63" t="str">
        <f>DIAGNOSTIC!B14</f>
        <v>L. Martin</v>
      </c>
      <c r="C17" s="63"/>
      <c r="D17" s="64">
        <f>IF(DIAGNOSTIC!B14="","",DIAGNOSTIC!D14)</f>
        <v>17.5</v>
      </c>
      <c r="E17" s="64">
        <f>IF(DIAGNOSTIC!B14="","",DIAGNOSTIC!E14)</f>
        <v>40</v>
      </c>
      <c r="F17" s="64">
        <f>IF(DIAGNOSTIC!B14="","",DIAGNOSTIC!F14)</f>
        <v>-22.5</v>
      </c>
      <c r="G17" s="63" t="str">
        <f>IF(DIAGNOSTIC!B14="","",DIAGNOSTIC!G14)</f>
        <v>🔴 Non conforme</v>
      </c>
    </row>
    <row r="18" spans="1:7" x14ac:dyDescent="0.3">
      <c r="A18" s="58"/>
      <c r="B18" s="60" t="str">
        <f>DIAGNOSTIC!B15</f>
        <v>M. Lambert</v>
      </c>
      <c r="C18" s="60"/>
      <c r="D18" s="61">
        <f>IF(DIAGNOSTIC!B15="","",DIAGNOSTIC!D15)</f>
        <v>77</v>
      </c>
      <c r="E18" s="61">
        <f>IF(DIAGNOSTIC!B15="","",DIAGNOSTIC!E15)</f>
        <v>120</v>
      </c>
      <c r="F18" s="61">
        <f>IF(DIAGNOSTIC!B15="","",DIAGNOSTIC!F15)</f>
        <v>-43</v>
      </c>
      <c r="G18" s="60" t="str">
        <f>IF(DIAGNOSTIC!B15="","",DIAGNOSTIC!G15)</f>
        <v>🔴 Non conforme</v>
      </c>
    </row>
    <row r="19" spans="1:7" x14ac:dyDescent="0.3">
      <c r="A19" s="58"/>
      <c r="B19" s="63" t="str">
        <f>DIAGNOSTIC!B16</f>
        <v>T. Renaud</v>
      </c>
      <c r="C19" s="63"/>
      <c r="D19" s="64">
        <f>IF(DIAGNOSTIC!B16="","",DIAGNOSTIC!D16)</f>
        <v>49</v>
      </c>
      <c r="E19" s="64">
        <f>IF(DIAGNOSTIC!B16="","",DIAGNOSTIC!E16)</f>
        <v>120</v>
      </c>
      <c r="F19" s="64">
        <f>IF(DIAGNOSTIC!B16="","",DIAGNOSTIC!F16)</f>
        <v>-71</v>
      </c>
      <c r="G19" s="63" t="str">
        <f>IF(DIAGNOSTIC!B16="","",DIAGNOSTIC!G16)</f>
        <v>🔴 Non conforme</v>
      </c>
    </row>
    <row r="20" spans="1:7" x14ac:dyDescent="0.3">
      <c r="A20" s="58"/>
      <c r="B20" s="60" t="str">
        <f>DIAGNOSTIC!B17</f>
        <v/>
      </c>
      <c r="C20" s="60"/>
      <c r="D20" s="61" t="str">
        <f>IF(DIAGNOSTIC!B17="","",DIAGNOSTIC!D17)</f>
        <v/>
      </c>
      <c r="E20" s="61" t="str">
        <f>IF(DIAGNOSTIC!B17="","",DIAGNOSTIC!E17)</f>
        <v/>
      </c>
      <c r="F20" s="61" t="str">
        <f>IF(DIAGNOSTIC!B17="","",DIAGNOSTIC!F17)</f>
        <v/>
      </c>
      <c r="G20" s="60" t="str">
        <f>IF(DIAGNOSTIC!B17="","",DIAGNOSTIC!G17)</f>
        <v/>
      </c>
    </row>
    <row r="21" spans="1:7" x14ac:dyDescent="0.3">
      <c r="A21" s="58"/>
      <c r="B21" s="63" t="str">
        <f>DIAGNOSTIC!B18</f>
        <v/>
      </c>
      <c r="C21" s="63"/>
      <c r="D21" s="64" t="str">
        <f>IF(DIAGNOSTIC!B18="","",DIAGNOSTIC!D18)</f>
        <v/>
      </c>
      <c r="E21" s="64" t="str">
        <f>IF(DIAGNOSTIC!B18="","",DIAGNOSTIC!E18)</f>
        <v/>
      </c>
      <c r="F21" s="64" t="str">
        <f>IF(DIAGNOSTIC!B18="","",DIAGNOSTIC!F18)</f>
        <v/>
      </c>
      <c r="G21" s="63" t="str">
        <f>IF(DIAGNOSTIC!B18="","",DIAGNOSTIC!G18)</f>
        <v/>
      </c>
    </row>
    <row r="22" spans="1:7" x14ac:dyDescent="0.3">
      <c r="A22" s="58"/>
      <c r="B22" s="60" t="str">
        <f>DIAGNOSTIC!B19</f>
        <v/>
      </c>
      <c r="C22" s="60"/>
      <c r="D22" s="61" t="str">
        <f>IF(DIAGNOSTIC!B19="","",DIAGNOSTIC!D19)</f>
        <v/>
      </c>
      <c r="E22" s="61" t="str">
        <f>IF(DIAGNOSTIC!B19="","",DIAGNOSTIC!E19)</f>
        <v/>
      </c>
      <c r="F22" s="61" t="str">
        <f>IF(DIAGNOSTIC!B19="","",DIAGNOSTIC!F19)</f>
        <v/>
      </c>
      <c r="G22" s="60" t="str">
        <f>IF(DIAGNOSTIC!B19="","",DIAGNOSTIC!G19)</f>
        <v/>
      </c>
    </row>
    <row r="23" spans="1:7" x14ac:dyDescent="0.3">
      <c r="A23" s="58"/>
      <c r="B23" s="63" t="str">
        <f>DIAGNOSTIC!B20</f>
        <v/>
      </c>
      <c r="C23" s="63"/>
      <c r="D23" s="64" t="str">
        <f>IF(DIAGNOSTIC!B20="","",DIAGNOSTIC!D20)</f>
        <v/>
      </c>
      <c r="E23" s="64" t="str">
        <f>IF(DIAGNOSTIC!B20="","",DIAGNOSTIC!E20)</f>
        <v/>
      </c>
      <c r="F23" s="64" t="str">
        <f>IF(DIAGNOSTIC!B20="","",DIAGNOSTIC!F20)</f>
        <v/>
      </c>
      <c r="G23" s="63" t="str">
        <f>IF(DIAGNOSTIC!B20="","",DIAGNOSTIC!G20)</f>
        <v/>
      </c>
    </row>
    <row r="24" spans="1:7" x14ac:dyDescent="0.3">
      <c r="A24" s="58"/>
      <c r="B24" s="60" t="str">
        <f>DIAGNOSTIC!B21</f>
        <v/>
      </c>
      <c r="C24" s="60"/>
      <c r="D24" s="61" t="str">
        <f>IF(DIAGNOSTIC!B21="","",DIAGNOSTIC!D21)</f>
        <v/>
      </c>
      <c r="E24" s="61" t="str">
        <f>IF(DIAGNOSTIC!B21="","",DIAGNOSTIC!E21)</f>
        <v/>
      </c>
      <c r="F24" s="61" t="str">
        <f>IF(DIAGNOSTIC!B21="","",DIAGNOSTIC!F21)</f>
        <v/>
      </c>
      <c r="G24" s="60" t="str">
        <f>IF(DIAGNOSTIC!B21="","",DIAGNOSTIC!G21)</f>
        <v/>
      </c>
    </row>
    <row r="25" spans="1:7" x14ac:dyDescent="0.3">
      <c r="A25" s="58"/>
      <c r="B25" s="63" t="str">
        <f>DIAGNOSTIC!B22</f>
        <v/>
      </c>
      <c r="C25" s="63"/>
      <c r="D25" s="64" t="str">
        <f>IF(DIAGNOSTIC!B22="","",DIAGNOSTIC!D22)</f>
        <v/>
      </c>
      <c r="E25" s="64" t="str">
        <f>IF(DIAGNOSTIC!B22="","",DIAGNOSTIC!E22)</f>
        <v/>
      </c>
      <c r="F25" s="64" t="str">
        <f>IF(DIAGNOSTIC!B22="","",DIAGNOSTIC!F22)</f>
        <v/>
      </c>
      <c r="G25" s="63" t="str">
        <f>IF(DIAGNOSTIC!B22="","",DIAGNOSTIC!G22)</f>
        <v/>
      </c>
    </row>
    <row r="26" spans="1:7" x14ac:dyDescent="0.3">
      <c r="A26" s="58"/>
      <c r="B26" s="58"/>
      <c r="C26" s="58"/>
      <c r="D26" s="58"/>
      <c r="E26" s="58"/>
      <c r="F26" s="58"/>
      <c r="G26" s="58"/>
    </row>
    <row r="27" spans="1:7" x14ac:dyDescent="0.3">
      <c r="A27" s="58"/>
      <c r="B27" s="40" t="s">
        <v>434</v>
      </c>
      <c r="C27" s="42"/>
      <c r="D27" s="42" t="str">
        <f>COUNTIF(DIAGNOSTIC!G13:G22,"✅*")&amp;" / "&amp;COUNTIF(DIAGNOSTIC!B13:B22,"?*")</f>
        <v>0 / 4</v>
      </c>
      <c r="E27" s="42"/>
      <c r="F27" s="42"/>
      <c r="G27" s="58"/>
    </row>
    <row r="28" spans="1:7" x14ac:dyDescent="0.3">
      <c r="A28" s="58"/>
      <c r="B28" s="40" t="s">
        <v>435</v>
      </c>
      <c r="C28" s="42"/>
      <c r="D28" s="42" t="str">
        <f>COUNTIF('PLAN D''ACTION'!H64:H73,"✅*")&amp;" / "&amp;COUNTIF('PLAN D''ACTION'!B64:B73,"?*")</f>
        <v>4 / 4</v>
      </c>
      <c r="E28" s="42"/>
      <c r="F28" s="42"/>
      <c r="G28" s="58"/>
    </row>
    <row r="29" spans="1:7" x14ac:dyDescent="0.3">
      <c r="A29" s="58"/>
      <c r="B29" s="58"/>
      <c r="C29" s="58"/>
      <c r="D29" s="58"/>
      <c r="E29" s="58"/>
      <c r="F29" s="58"/>
      <c r="G29" s="58"/>
    </row>
    <row r="30" spans="1:7" x14ac:dyDescent="0.3">
      <c r="A30" s="58"/>
      <c r="B30" s="19" t="s">
        <v>436</v>
      </c>
      <c r="C30" s="58"/>
      <c r="D30" s="58"/>
      <c r="E30" s="58"/>
      <c r="F30" s="58"/>
      <c r="G30" s="58"/>
    </row>
    <row r="31" spans="1:7" x14ac:dyDescent="0.3">
      <c r="A31" s="58"/>
      <c r="B31" s="113" t="s">
        <v>437</v>
      </c>
      <c r="C31" s="107"/>
      <c r="D31" s="127">
        <f>'PLAN D''ACTION'!D47</f>
        <v>6470</v>
      </c>
      <c r="E31" s="107"/>
      <c r="F31" s="107"/>
      <c r="G31" s="58"/>
    </row>
    <row r="32" spans="1:7" x14ac:dyDescent="0.3">
      <c r="A32" s="58"/>
      <c r="B32" s="114" t="s">
        <v>389</v>
      </c>
      <c r="C32" s="109"/>
      <c r="D32" s="128">
        <f>'PLAN D''ACTION'!D48</f>
        <v>-3800</v>
      </c>
      <c r="E32" s="109"/>
      <c r="F32" s="109"/>
      <c r="G32" s="58"/>
    </row>
    <row r="33" spans="1:7" x14ac:dyDescent="0.3">
      <c r="A33" s="58"/>
      <c r="B33" s="113" t="s">
        <v>390</v>
      </c>
      <c r="C33" s="107"/>
      <c r="D33" s="127">
        <f>'PLAN D''ACTION'!D49</f>
        <v>2670</v>
      </c>
      <c r="E33" s="107"/>
      <c r="F33" s="107"/>
      <c r="G33" s="58"/>
    </row>
    <row r="34" spans="1:7" ht="26.25" customHeight="1" x14ac:dyDescent="0.3">
      <c r="A34" s="58"/>
      <c r="B34" s="114" t="s">
        <v>438</v>
      </c>
      <c r="C34" s="109"/>
      <c r="D34" s="128">
        <f>'PLAN D''ACTION'!D50</f>
        <v>-3935</v>
      </c>
      <c r="E34" s="109"/>
      <c r="F34" s="109"/>
      <c r="G34" s="58"/>
    </row>
    <row r="35" spans="1:7" x14ac:dyDescent="0.3">
      <c r="A35" s="58"/>
      <c r="B35" s="110" t="s">
        <v>393</v>
      </c>
      <c r="C35" s="111"/>
      <c r="D35" s="129">
        <f>'PLAN D''ACTION'!D51</f>
        <v>-1265</v>
      </c>
      <c r="E35" s="111"/>
      <c r="F35" s="111"/>
      <c r="G35" s="58"/>
    </row>
    <row r="36" spans="1:7" x14ac:dyDescent="0.3">
      <c r="A36" s="58"/>
      <c r="B36" s="58"/>
      <c r="C36" s="58"/>
      <c r="D36" s="58"/>
      <c r="E36" s="58"/>
      <c r="F36" s="58"/>
      <c r="G36" s="58"/>
    </row>
    <row r="37" spans="1:7" x14ac:dyDescent="0.3">
      <c r="A37" s="58"/>
      <c r="B37" s="58"/>
      <c r="C37" s="58"/>
      <c r="D37" s="58"/>
      <c r="E37" s="58"/>
      <c r="F37" s="58"/>
      <c r="G37" s="58"/>
    </row>
    <row r="38" spans="1:7" ht="27" customHeight="1" x14ac:dyDescent="0.3">
      <c r="A38" s="58"/>
      <c r="B38" s="19" t="s">
        <v>439</v>
      </c>
      <c r="C38" s="58"/>
      <c r="D38" s="58"/>
      <c r="E38" s="58"/>
      <c r="F38" s="58"/>
      <c r="G38" s="58"/>
    </row>
    <row r="39" spans="1:7" ht="22.5" customHeight="1" x14ac:dyDescent="0.3">
      <c r="A39" s="58"/>
      <c r="B39" s="130" t="s">
        <v>440</v>
      </c>
      <c r="C39" s="194" t="s">
        <v>441</v>
      </c>
      <c r="D39" s="194"/>
      <c r="E39" s="194"/>
      <c r="F39" s="99" t="s">
        <v>442</v>
      </c>
      <c r="G39" s="58"/>
    </row>
    <row r="40" spans="1:7" ht="22.5" customHeight="1" x14ac:dyDescent="0.3">
      <c r="A40" s="58"/>
      <c r="B40" s="131" t="s">
        <v>440</v>
      </c>
      <c r="C40" s="193" t="s">
        <v>443</v>
      </c>
      <c r="D40" s="193"/>
      <c r="E40" s="193"/>
      <c r="F40" s="95" t="s">
        <v>444</v>
      </c>
      <c r="G40" s="58"/>
    </row>
    <row r="41" spans="1:7" ht="15" customHeight="1" x14ac:dyDescent="0.3">
      <c r="A41" s="58"/>
      <c r="B41" s="130" t="s">
        <v>440</v>
      </c>
      <c r="C41" s="194" t="s">
        <v>445</v>
      </c>
      <c r="D41" s="194"/>
      <c r="E41" s="194"/>
      <c r="F41" s="99" t="s">
        <v>446</v>
      </c>
      <c r="G41" s="58"/>
    </row>
    <row r="42" spans="1:7" ht="22.5" customHeight="1" x14ac:dyDescent="0.3">
      <c r="A42" s="58"/>
      <c r="B42" s="131" t="s">
        <v>440</v>
      </c>
      <c r="C42" s="193" t="s">
        <v>447</v>
      </c>
      <c r="D42" s="193"/>
      <c r="E42" s="193"/>
      <c r="F42" s="95" t="s">
        <v>448</v>
      </c>
      <c r="G42" s="58"/>
    </row>
    <row r="43" spans="1:7" ht="33.75" customHeight="1" x14ac:dyDescent="0.3">
      <c r="A43" s="58"/>
      <c r="B43" s="130" t="s">
        <v>440</v>
      </c>
      <c r="C43" s="194" t="s">
        <v>449</v>
      </c>
      <c r="D43" s="194"/>
      <c r="E43" s="194"/>
      <c r="F43" s="99" t="s">
        <v>450</v>
      </c>
      <c r="G43" s="58"/>
    </row>
    <row r="44" spans="1:7" ht="22.5" customHeight="1" x14ac:dyDescent="0.3">
      <c r="A44" s="58"/>
      <c r="B44" s="131" t="s">
        <v>440</v>
      </c>
      <c r="C44" s="193" t="s">
        <v>451</v>
      </c>
      <c r="D44" s="193"/>
      <c r="E44" s="193"/>
      <c r="F44" s="95" t="s">
        <v>43</v>
      </c>
      <c r="G44" s="58"/>
    </row>
    <row r="45" spans="1:7" ht="22.5" customHeight="1" x14ac:dyDescent="0.3">
      <c r="A45" s="58"/>
      <c r="B45" s="130" t="s">
        <v>440</v>
      </c>
      <c r="C45" s="194" t="s">
        <v>452</v>
      </c>
      <c r="D45" s="194"/>
      <c r="E45" s="194"/>
      <c r="F45" s="99" t="s">
        <v>46</v>
      </c>
      <c r="G45" s="58"/>
    </row>
    <row r="46" spans="1:7" ht="22.5" customHeight="1" x14ac:dyDescent="0.3">
      <c r="A46" s="58"/>
      <c r="B46" s="131" t="s">
        <v>440</v>
      </c>
      <c r="C46" s="193" t="s">
        <v>453</v>
      </c>
      <c r="D46" s="193"/>
      <c r="E46" s="193"/>
      <c r="F46" s="95" t="s">
        <v>58</v>
      </c>
      <c r="G46" s="58"/>
    </row>
    <row r="47" spans="1:7" ht="45" customHeight="1" x14ac:dyDescent="0.3">
      <c r="A47" s="58"/>
      <c r="B47" s="130" t="s">
        <v>440</v>
      </c>
      <c r="C47" s="194" t="s">
        <v>454</v>
      </c>
      <c r="D47" s="194"/>
      <c r="E47" s="194"/>
      <c r="F47" s="99" t="s">
        <v>455</v>
      </c>
      <c r="G47" s="58"/>
    </row>
    <row r="48" spans="1:7" ht="22.5" customHeight="1" x14ac:dyDescent="0.3">
      <c r="A48" s="58"/>
      <c r="B48" s="131" t="s">
        <v>440</v>
      </c>
      <c r="C48" s="193" t="s">
        <v>456</v>
      </c>
      <c r="D48" s="193"/>
      <c r="E48" s="193"/>
      <c r="F48" s="95" t="s">
        <v>457</v>
      </c>
      <c r="G48" s="58"/>
    </row>
    <row r="49" spans="1:7" x14ac:dyDescent="0.3">
      <c r="A49" s="58"/>
      <c r="B49" s="58"/>
      <c r="C49" s="58"/>
      <c r="D49" s="58"/>
      <c r="E49" s="58"/>
      <c r="F49" s="58"/>
      <c r="G49" s="58"/>
    </row>
    <row r="50" spans="1:7" x14ac:dyDescent="0.3">
      <c r="A50" s="58"/>
      <c r="B50" s="58"/>
      <c r="C50" s="58"/>
      <c r="D50" s="58"/>
      <c r="E50" s="58"/>
      <c r="F50" s="58"/>
      <c r="G50" s="58"/>
    </row>
    <row r="51" spans="1:7" ht="45" customHeight="1" x14ac:dyDescent="0.3">
      <c r="A51" s="58"/>
      <c r="B51" s="132" t="s">
        <v>458</v>
      </c>
      <c r="C51" s="58"/>
      <c r="D51" s="58"/>
      <c r="E51" s="18" t="s">
        <v>459</v>
      </c>
      <c r="F51" s="58"/>
      <c r="G51" s="58"/>
    </row>
    <row r="52" spans="1:7" x14ac:dyDescent="0.3">
      <c r="A52" s="58"/>
      <c r="B52" s="58"/>
      <c r="C52" s="58"/>
      <c r="D52" s="58"/>
      <c r="E52" s="58"/>
      <c r="F52" s="58"/>
      <c r="G52" s="58"/>
    </row>
    <row r="53" spans="1:7" ht="39.75" customHeight="1" x14ac:dyDescent="0.3">
      <c r="A53" s="58"/>
      <c r="B53" s="133" t="s">
        <v>460</v>
      </c>
      <c r="C53" s="58"/>
      <c r="D53" s="58"/>
      <c r="E53" s="133" t="s">
        <v>461</v>
      </c>
      <c r="F53" s="58"/>
      <c r="G53" s="58"/>
    </row>
    <row r="54" spans="1:7" x14ac:dyDescent="0.3">
      <c r="A54" s="58"/>
      <c r="B54" s="58"/>
      <c r="C54" s="58"/>
      <c r="D54" s="58"/>
      <c r="E54" s="58"/>
      <c r="F54" s="58"/>
      <c r="G54" s="58"/>
    </row>
    <row r="55" spans="1:7" ht="27" customHeight="1" x14ac:dyDescent="0.3">
      <c r="A55" s="58"/>
      <c r="B55" s="19" t="s">
        <v>462</v>
      </c>
      <c r="C55" s="58"/>
      <c r="D55" s="58"/>
      <c r="E55" s="58"/>
      <c r="F55" s="58"/>
      <c r="G55" s="58"/>
    </row>
    <row r="56" spans="1:7" ht="33.75" customHeight="1" x14ac:dyDescent="0.3">
      <c r="A56" s="58"/>
      <c r="B56" s="134" t="s">
        <v>463</v>
      </c>
      <c r="C56" s="58"/>
      <c r="D56" s="58"/>
      <c r="E56" s="58"/>
      <c r="F56" s="58"/>
      <c r="G56" s="58"/>
    </row>
    <row r="57" spans="1:7" ht="22.5" customHeight="1" x14ac:dyDescent="0.3">
      <c r="A57" s="58"/>
      <c r="B57" s="134" t="s">
        <v>464</v>
      </c>
      <c r="C57" s="58"/>
      <c r="D57" s="58"/>
      <c r="E57" s="58"/>
      <c r="F57" s="58"/>
      <c r="G57" s="58"/>
    </row>
    <row r="58" spans="1:7" ht="22.5" customHeight="1" x14ac:dyDescent="0.3">
      <c r="A58" s="58"/>
      <c r="B58" s="134" t="s">
        <v>465</v>
      </c>
      <c r="C58" s="58"/>
      <c r="D58" s="58"/>
      <c r="E58" s="58"/>
      <c r="F58" s="58"/>
      <c r="G58" s="58"/>
    </row>
    <row r="59" spans="1:7" ht="22.5" customHeight="1" x14ac:dyDescent="0.3">
      <c r="A59" s="58"/>
      <c r="B59" s="134" t="s">
        <v>466</v>
      </c>
      <c r="C59" s="58"/>
      <c r="D59" s="58"/>
      <c r="E59" s="58"/>
      <c r="F59" s="58"/>
      <c r="G59" s="58"/>
    </row>
    <row r="60" spans="1:7" ht="22.5" customHeight="1" x14ac:dyDescent="0.3">
      <c r="A60" s="58"/>
      <c r="B60" s="134" t="s">
        <v>467</v>
      </c>
      <c r="C60" s="58"/>
      <c r="D60" s="58"/>
      <c r="E60" s="58"/>
      <c r="F60" s="58"/>
      <c r="G60" s="58"/>
    </row>
    <row r="61" spans="1:7" ht="22.5" customHeight="1" x14ac:dyDescent="0.3">
      <c r="A61" s="58"/>
      <c r="B61" s="134" t="s">
        <v>468</v>
      </c>
      <c r="C61" s="58"/>
      <c r="D61" s="58"/>
      <c r="E61" s="58"/>
      <c r="F61" s="58"/>
      <c r="G61" s="58"/>
    </row>
    <row r="62" spans="1:7" ht="22.5" customHeight="1" x14ac:dyDescent="0.3">
      <c r="A62" s="58"/>
      <c r="B62" s="134" t="s">
        <v>469</v>
      </c>
      <c r="C62" s="58"/>
      <c r="D62" s="58"/>
      <c r="E62" s="58"/>
      <c r="F62" s="58"/>
      <c r="G62" s="58"/>
    </row>
    <row r="63" spans="1:7" ht="22.5" customHeight="1" x14ac:dyDescent="0.3">
      <c r="A63" s="58"/>
      <c r="B63" s="134" t="s">
        <v>470</v>
      </c>
      <c r="C63" s="58"/>
      <c r="D63" s="58"/>
      <c r="E63" s="58"/>
      <c r="F63" s="58"/>
      <c r="G63" s="58"/>
    </row>
    <row r="64" spans="1:7" ht="22.5" customHeight="1" x14ac:dyDescent="0.3">
      <c r="A64" s="58"/>
      <c r="B64" s="134" t="s">
        <v>471</v>
      </c>
      <c r="C64" s="58"/>
      <c r="D64" s="58"/>
      <c r="E64" s="58"/>
      <c r="F64" s="58"/>
      <c r="G64" s="58"/>
    </row>
    <row r="65" spans="1:7" ht="22.5" customHeight="1" x14ac:dyDescent="0.3">
      <c r="A65" s="58"/>
      <c r="B65" s="134" t="s">
        <v>472</v>
      </c>
      <c r="C65" s="58"/>
      <c r="D65" s="58"/>
      <c r="E65" s="58"/>
      <c r="F65" s="58"/>
      <c r="G65" s="58"/>
    </row>
    <row r="66" spans="1:7" ht="22.5" customHeight="1" x14ac:dyDescent="0.3">
      <c r="A66" s="58"/>
      <c r="B66" s="134" t="s">
        <v>473</v>
      </c>
      <c r="C66" s="58"/>
      <c r="D66" s="58"/>
      <c r="E66" s="58"/>
      <c r="F66" s="58"/>
      <c r="G66" s="58"/>
    </row>
    <row r="67" spans="1:7" ht="22.5" customHeight="1" x14ac:dyDescent="0.3">
      <c r="A67" s="58"/>
      <c r="B67" s="134" t="s">
        <v>474</v>
      </c>
      <c r="C67" s="58"/>
      <c r="D67" s="58"/>
      <c r="E67" s="58"/>
      <c r="F67" s="58"/>
      <c r="G67" s="58"/>
    </row>
    <row r="70" spans="1:7" x14ac:dyDescent="0.3">
      <c r="B70" s="135" t="s">
        <v>475</v>
      </c>
      <c r="C70" s="136"/>
      <c r="D70" s="136"/>
      <c r="E70" s="136"/>
      <c r="F70" s="136"/>
      <c r="G70" s="136"/>
    </row>
    <row r="71" spans="1:7" x14ac:dyDescent="0.3">
      <c r="B71" s="76" t="s">
        <v>476</v>
      </c>
      <c r="C71" s="77"/>
      <c r="D71" s="184" t="str">
        <f>D27&amp;" collaborateurs conformes au cycle triennal Art. 22 CD au point d'arrêté."</f>
        <v>0 / 4 collaborateurs conformes au cycle triennal Art. 22 CD au point d'arrêté.</v>
      </c>
      <c r="E71" s="184"/>
      <c r="F71" s="184"/>
      <c r="G71" s="184"/>
    </row>
    <row r="72" spans="1:7" x14ac:dyDescent="0.3">
      <c r="B72" s="81" t="s">
        <v>477</v>
      </c>
      <c r="C72" s="82"/>
      <c r="D72" s="185" t="str">
        <f>TEXT(SUM(SAISIE!D77:D89),"0")&amp;"h de formations externes + "&amp;TEXT(SAISIE!E109,"0,0")&amp;"h d'AFEST internes planifiées sur S2 2026."</f>
        <v>105h de formations externes + 73,5h d'AFEST internes planifiées sur S2 2026.</v>
      </c>
      <c r="E72" s="185"/>
      <c r="F72" s="185"/>
      <c r="G72" s="185"/>
    </row>
    <row r="73" spans="1:7" x14ac:dyDescent="0.3">
      <c r="B73" s="76" t="s">
        <v>478</v>
      </c>
      <c r="C73" s="77"/>
      <c r="D73" s="184" t="str">
        <f>D28&amp;" collaborateurs conformes d'ici le 31/12/2026."</f>
        <v>4 / 4 collaborateurs conformes d'ici le 31/12/2026.</v>
      </c>
      <c r="E73" s="184"/>
      <c r="F73" s="184"/>
      <c r="G73" s="184"/>
    </row>
    <row r="74" spans="1:7" x14ac:dyDescent="0.3">
      <c r="B74" s="81" t="s">
        <v>331</v>
      </c>
      <c r="C74" s="82"/>
      <c r="D74" s="185" t="str">
        <f>TEXT(D35,"# ##0")&amp;"€ (gain net : financement OPCO Atlas + économies AFEST &gt; coûts catalogue)."</f>
        <v>-1 265€ (gain net : financement OPCO Atlas + économies AFEST &gt; coûts catalogue).</v>
      </c>
      <c r="E74" s="185"/>
      <c r="F74" s="185"/>
      <c r="G74" s="185"/>
    </row>
    <row r="75" spans="1:7" x14ac:dyDescent="0.3">
      <c r="B75" s="76" t="s">
        <v>479</v>
      </c>
      <c r="C75" s="77"/>
      <c r="D75" s="184" t="str">
        <f>DIAGNOSTIC!C47&amp;" (score "&amp;TEXT(DIAGNOSTIC!D47,"0,0")&amp;") — Priorité immédiate du plan d'action."</f>
        <v>Facture électronique (PA) (score 15,8) — Priorité immédiate du plan d'action.</v>
      </c>
      <c r="E75" s="184"/>
      <c r="F75" s="184"/>
      <c r="G75" s="184"/>
    </row>
    <row r="76" spans="1:7" ht="23.25" customHeight="1" x14ac:dyDescent="0.3">
      <c r="B76" s="81" t="s">
        <v>480</v>
      </c>
      <c r="C76" s="82"/>
      <c r="D76" s="185" t="s">
        <v>481</v>
      </c>
      <c r="E76" s="185"/>
      <c r="F76" s="185"/>
      <c r="G76" s="185"/>
    </row>
  </sheetData>
  <sheetProtection algorithmName="SHA-512" hashValue="gROVpQ4fisTyxI8zaB8YAtjUvn98MywCKN03McDdFaElQeAspsvwOnr3nzBjRqNuD4GlGGsJBxXCqeN6FUBf5g==" saltValue="qKeydGxleXlOmBzHHqreDw==" spinCount="100000" sheet="1" objects="1" scenarios="1"/>
  <mergeCells count="19">
    <mergeCell ref="B2:G2"/>
    <mergeCell ref="B3:G3"/>
    <mergeCell ref="B4:G4"/>
    <mergeCell ref="C39:E39"/>
    <mergeCell ref="C40:E40"/>
    <mergeCell ref="C41:E41"/>
    <mergeCell ref="C42:E42"/>
    <mergeCell ref="C43:E43"/>
    <mergeCell ref="C44:E44"/>
    <mergeCell ref="C45:E45"/>
    <mergeCell ref="D73:G73"/>
    <mergeCell ref="D74:G74"/>
    <mergeCell ref="D75:G75"/>
    <mergeCell ref="D76:G76"/>
    <mergeCell ref="C46:E46"/>
    <mergeCell ref="C47:E47"/>
    <mergeCell ref="C48:E48"/>
    <mergeCell ref="D71:G71"/>
    <mergeCell ref="D72:G72"/>
  </mergeCells>
  <pageMargins left="0.6" right="0.6" top="0.7" bottom="0.7" header="0.5" footer="0.5"/>
  <pageSetup paperSize="9" orientation="portrait" horizontalDpi="300" verticalDpi="300"/>
  <headerFooter>
    <oddHeader>&amp;CSYNTHÈSE CONTRÔLE QUALITÉ — FORMATION CONTINUE</oddHeader>
    <oddFooter>&amp;CCabinet Digit Expertise — Confidentiel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43"/>
  <sheetViews>
    <sheetView topLeftCell="A214" zoomScaleNormal="100" workbookViewId="0">
      <selection activeCell="A235" sqref="A235"/>
    </sheetView>
  </sheetViews>
  <sheetFormatPr baseColWidth="10" defaultColWidth="8.6640625" defaultRowHeight="14.4" x14ac:dyDescent="0.3"/>
  <cols>
    <col min="1" max="1" width="95" customWidth="1"/>
  </cols>
  <sheetData>
    <row r="1" spans="1:1" ht="24" customHeight="1" x14ac:dyDescent="0.3">
      <c r="A1" s="137" t="s">
        <v>482</v>
      </c>
    </row>
    <row r="2" spans="1:1" ht="15" customHeight="1" x14ac:dyDescent="0.3">
      <c r="A2" s="138"/>
    </row>
    <row r="3" spans="1:1" ht="21.75" customHeight="1" x14ac:dyDescent="0.3">
      <c r="A3" s="139" t="s">
        <v>483</v>
      </c>
    </row>
    <row r="4" spans="1:1" ht="15" customHeight="1" x14ac:dyDescent="0.3">
      <c r="A4" s="140" t="s">
        <v>484</v>
      </c>
    </row>
    <row r="5" spans="1:1" ht="15" customHeight="1" x14ac:dyDescent="0.3">
      <c r="A5" s="140" t="s">
        <v>485</v>
      </c>
    </row>
    <row r="6" spans="1:1" ht="15" customHeight="1" x14ac:dyDescent="0.3">
      <c r="A6" s="140" t="s">
        <v>486</v>
      </c>
    </row>
    <row r="7" spans="1:1" ht="15" customHeight="1" x14ac:dyDescent="0.3">
      <c r="A7" s="140" t="s">
        <v>487</v>
      </c>
    </row>
    <row r="8" spans="1:1" ht="15" customHeight="1" x14ac:dyDescent="0.3">
      <c r="A8" s="140" t="s">
        <v>488</v>
      </c>
    </row>
    <row r="9" spans="1:1" ht="15" customHeight="1" x14ac:dyDescent="0.3">
      <c r="A9" s="140" t="s">
        <v>489</v>
      </c>
    </row>
    <row r="10" spans="1:1" ht="15" customHeight="1" x14ac:dyDescent="0.3">
      <c r="A10" s="140" t="s">
        <v>490</v>
      </c>
    </row>
    <row r="11" spans="1:1" ht="15" customHeight="1" x14ac:dyDescent="0.3">
      <c r="A11" s="140" t="s">
        <v>491</v>
      </c>
    </row>
    <row r="12" spans="1:1" ht="15" customHeight="1" x14ac:dyDescent="0.3">
      <c r="A12" s="141"/>
    </row>
    <row r="13" spans="1:1" ht="15" customHeight="1" x14ac:dyDescent="0.3">
      <c r="A13" s="140" t="s">
        <v>492</v>
      </c>
    </row>
    <row r="14" spans="1:1" ht="15" customHeight="1" x14ac:dyDescent="0.3">
      <c r="A14" s="140" t="s">
        <v>493</v>
      </c>
    </row>
    <row r="15" spans="1:1" ht="15" customHeight="1" x14ac:dyDescent="0.3">
      <c r="A15" s="140" t="s">
        <v>494</v>
      </c>
    </row>
    <row r="16" spans="1:1" ht="15" customHeight="1" x14ac:dyDescent="0.3">
      <c r="A16" s="140" t="s">
        <v>495</v>
      </c>
    </row>
    <row r="17" spans="1:1" ht="15" customHeight="1" x14ac:dyDescent="0.3">
      <c r="A17" s="138"/>
    </row>
    <row r="18" spans="1:1" ht="21.75" customHeight="1" x14ac:dyDescent="0.3">
      <c r="A18" s="139" t="s">
        <v>496</v>
      </c>
    </row>
    <row r="19" spans="1:1" ht="15" customHeight="1" x14ac:dyDescent="0.3">
      <c r="A19" s="140" t="s">
        <v>497</v>
      </c>
    </row>
    <row r="20" spans="1:1" ht="15" customHeight="1" x14ac:dyDescent="0.3">
      <c r="A20" s="140" t="s">
        <v>498</v>
      </c>
    </row>
    <row r="21" spans="1:1" ht="15" customHeight="1" x14ac:dyDescent="0.3">
      <c r="A21" s="140" t="s">
        <v>499</v>
      </c>
    </row>
    <row r="22" spans="1:1" ht="15" customHeight="1" x14ac:dyDescent="0.3">
      <c r="A22" s="140" t="s">
        <v>500</v>
      </c>
    </row>
    <row r="23" spans="1:1" ht="15" customHeight="1" x14ac:dyDescent="0.3">
      <c r="A23" s="138"/>
    </row>
    <row r="24" spans="1:1" ht="15" customHeight="1" x14ac:dyDescent="0.3">
      <c r="A24" s="140" t="s">
        <v>501</v>
      </c>
    </row>
    <row r="25" spans="1:1" ht="15" customHeight="1" x14ac:dyDescent="0.3">
      <c r="A25" s="140" t="s">
        <v>502</v>
      </c>
    </row>
    <row r="26" spans="1:1" ht="15" customHeight="1" x14ac:dyDescent="0.3">
      <c r="A26" s="140" t="s">
        <v>503</v>
      </c>
    </row>
    <row r="27" spans="1:1" ht="15" customHeight="1" x14ac:dyDescent="0.3">
      <c r="A27" s="140" t="s">
        <v>504</v>
      </c>
    </row>
    <row r="28" spans="1:1" ht="15" customHeight="1" x14ac:dyDescent="0.3">
      <c r="A28" s="140" t="s">
        <v>505</v>
      </c>
    </row>
    <row r="29" spans="1:1" ht="15" customHeight="1" x14ac:dyDescent="0.3">
      <c r="A29" s="140" t="s">
        <v>506</v>
      </c>
    </row>
    <row r="30" spans="1:1" ht="15" customHeight="1" x14ac:dyDescent="0.3">
      <c r="A30" s="140" t="s">
        <v>507</v>
      </c>
    </row>
    <row r="31" spans="1:1" ht="15" customHeight="1" x14ac:dyDescent="0.3">
      <c r="A31" s="140" t="s">
        <v>508</v>
      </c>
    </row>
    <row r="32" spans="1:1" ht="15" customHeight="1" x14ac:dyDescent="0.3">
      <c r="A32" s="140" t="s">
        <v>509</v>
      </c>
    </row>
    <row r="33" spans="1:1" ht="15" customHeight="1" x14ac:dyDescent="0.3">
      <c r="A33" s="140" t="s">
        <v>510</v>
      </c>
    </row>
    <row r="34" spans="1:1" ht="15" customHeight="1" x14ac:dyDescent="0.3">
      <c r="A34" s="142" t="s">
        <v>511</v>
      </c>
    </row>
    <row r="35" spans="1:1" ht="15" customHeight="1" x14ac:dyDescent="0.3">
      <c r="A35" s="138"/>
    </row>
    <row r="36" spans="1:1" ht="21.75" customHeight="1" x14ac:dyDescent="0.3">
      <c r="A36" s="139" t="s">
        <v>512</v>
      </c>
    </row>
    <row r="37" spans="1:1" ht="15" customHeight="1" x14ac:dyDescent="0.3">
      <c r="A37" s="140" t="s">
        <v>513</v>
      </c>
    </row>
    <row r="38" spans="1:1" ht="15" customHeight="1" x14ac:dyDescent="0.3">
      <c r="A38" s="138"/>
    </row>
    <row r="39" spans="1:1" ht="15" customHeight="1" x14ac:dyDescent="0.3">
      <c r="A39" s="140" t="s">
        <v>514</v>
      </c>
    </row>
    <row r="40" spans="1:1" ht="15" customHeight="1" x14ac:dyDescent="0.3">
      <c r="A40" s="140" t="s">
        <v>515</v>
      </c>
    </row>
    <row r="41" spans="1:1" ht="15" customHeight="1" x14ac:dyDescent="0.3">
      <c r="A41" s="140" t="s">
        <v>516</v>
      </c>
    </row>
    <row r="42" spans="1:1" ht="15" customHeight="1" x14ac:dyDescent="0.3">
      <c r="A42" s="140" t="s">
        <v>517</v>
      </c>
    </row>
    <row r="43" spans="1:1" ht="15" customHeight="1" x14ac:dyDescent="0.3">
      <c r="A43" s="140" t="s">
        <v>518</v>
      </c>
    </row>
    <row r="44" spans="1:1" ht="15" customHeight="1" x14ac:dyDescent="0.3">
      <c r="A44" s="140" t="s">
        <v>519</v>
      </c>
    </row>
    <row r="45" spans="1:1" ht="15" customHeight="1" x14ac:dyDescent="0.3">
      <c r="A45" s="140" t="s">
        <v>520</v>
      </c>
    </row>
    <row r="46" spans="1:1" ht="15" customHeight="1" x14ac:dyDescent="0.3">
      <c r="A46" s="140" t="s">
        <v>521</v>
      </c>
    </row>
    <row r="47" spans="1:1" ht="15" customHeight="1" x14ac:dyDescent="0.3">
      <c r="A47" s="143" t="s">
        <v>522</v>
      </c>
    </row>
    <row r="48" spans="1:1" ht="15" customHeight="1" x14ac:dyDescent="0.3">
      <c r="A48" s="143" t="s">
        <v>523</v>
      </c>
    </row>
    <row r="49" spans="1:1" ht="15" customHeight="1" x14ac:dyDescent="0.3">
      <c r="A49" s="143" t="s">
        <v>524</v>
      </c>
    </row>
    <row r="50" spans="1:1" ht="15" customHeight="1" x14ac:dyDescent="0.3">
      <c r="A50" s="144"/>
    </row>
    <row r="51" spans="1:1" ht="15" customHeight="1" x14ac:dyDescent="0.3">
      <c r="A51" s="143" t="s">
        <v>525</v>
      </c>
    </row>
    <row r="52" spans="1:1" ht="15" customHeight="1" x14ac:dyDescent="0.3">
      <c r="A52" s="143" t="s">
        <v>526</v>
      </c>
    </row>
    <row r="53" spans="1:1" ht="15" customHeight="1" x14ac:dyDescent="0.3">
      <c r="A53" s="143" t="s">
        <v>527</v>
      </c>
    </row>
    <row r="54" spans="1:1" ht="15" customHeight="1" x14ac:dyDescent="0.3">
      <c r="A54" s="143" t="s">
        <v>528</v>
      </c>
    </row>
    <row r="55" spans="1:1" ht="15" customHeight="1" x14ac:dyDescent="0.3">
      <c r="A55" s="145" t="s">
        <v>529</v>
      </c>
    </row>
    <row r="56" spans="1:1" ht="15" customHeight="1" x14ac:dyDescent="0.3">
      <c r="A56" s="143" t="s">
        <v>530</v>
      </c>
    </row>
    <row r="57" spans="1:1" ht="15" customHeight="1" x14ac:dyDescent="0.3">
      <c r="A57" s="144"/>
    </row>
    <row r="58" spans="1:1" ht="21.75" customHeight="1" x14ac:dyDescent="0.3">
      <c r="A58" s="146" t="s">
        <v>531</v>
      </c>
    </row>
    <row r="59" spans="1:1" ht="15" customHeight="1" x14ac:dyDescent="0.3">
      <c r="A59" s="143" t="s">
        <v>532</v>
      </c>
    </row>
    <row r="60" spans="1:1" ht="15" customHeight="1" x14ac:dyDescent="0.3">
      <c r="A60" s="143" t="s">
        <v>533</v>
      </c>
    </row>
    <row r="61" spans="1:1" ht="15" customHeight="1" x14ac:dyDescent="0.3">
      <c r="A61" s="143" t="s">
        <v>534</v>
      </c>
    </row>
    <row r="62" spans="1:1" ht="15" customHeight="1" x14ac:dyDescent="0.3">
      <c r="A62" s="143" t="s">
        <v>535</v>
      </c>
    </row>
    <row r="63" spans="1:1" ht="15" customHeight="1" x14ac:dyDescent="0.3">
      <c r="A63" s="143" t="s">
        <v>536</v>
      </c>
    </row>
    <row r="64" spans="1:1" ht="15" customHeight="1" x14ac:dyDescent="0.3">
      <c r="A64" s="143" t="s">
        <v>537</v>
      </c>
    </row>
    <row r="65" spans="1:1" ht="15" customHeight="1" x14ac:dyDescent="0.3">
      <c r="A65" s="144"/>
    </row>
    <row r="66" spans="1:1" ht="15" customHeight="1" x14ac:dyDescent="0.3">
      <c r="A66" s="143" t="s">
        <v>538</v>
      </c>
    </row>
    <row r="67" spans="1:1" ht="15" customHeight="1" x14ac:dyDescent="0.3">
      <c r="A67" s="143" t="s">
        <v>539</v>
      </c>
    </row>
    <row r="68" spans="1:1" ht="15" customHeight="1" x14ac:dyDescent="0.3">
      <c r="A68" s="143" t="s">
        <v>540</v>
      </c>
    </row>
    <row r="69" spans="1:1" ht="15" customHeight="1" x14ac:dyDescent="0.3">
      <c r="A69" s="143" t="s">
        <v>541</v>
      </c>
    </row>
    <row r="70" spans="1:1" ht="15" customHeight="1" x14ac:dyDescent="0.3">
      <c r="A70" s="144"/>
    </row>
    <row r="71" spans="1:1" ht="15" customHeight="1" x14ac:dyDescent="0.3">
      <c r="A71" s="143" t="s">
        <v>542</v>
      </c>
    </row>
    <row r="72" spans="1:1" ht="15" customHeight="1" x14ac:dyDescent="0.3">
      <c r="A72" s="143" t="s">
        <v>543</v>
      </c>
    </row>
    <row r="73" spans="1:1" ht="15" customHeight="1" x14ac:dyDescent="0.3">
      <c r="A73" s="143" t="s">
        <v>544</v>
      </c>
    </row>
    <row r="74" spans="1:1" ht="15" customHeight="1" x14ac:dyDescent="0.3">
      <c r="A74" s="143" t="s">
        <v>545</v>
      </c>
    </row>
    <row r="75" spans="1:1" ht="15" customHeight="1" x14ac:dyDescent="0.3">
      <c r="A75" s="143" t="s">
        <v>546</v>
      </c>
    </row>
    <row r="76" spans="1:1" ht="15" customHeight="1" x14ac:dyDescent="0.3">
      <c r="A76" s="143" t="s">
        <v>547</v>
      </c>
    </row>
    <row r="77" spans="1:1" ht="15" customHeight="1" x14ac:dyDescent="0.3">
      <c r="A77" s="144"/>
    </row>
    <row r="78" spans="1:1" ht="21.75" customHeight="1" x14ac:dyDescent="0.3">
      <c r="A78" s="146" t="s">
        <v>548</v>
      </c>
    </row>
    <row r="79" spans="1:1" ht="15" customHeight="1" x14ac:dyDescent="0.3">
      <c r="A79" s="144"/>
    </row>
    <row r="80" spans="1:1" ht="15" customHeight="1" x14ac:dyDescent="0.3">
      <c r="A80" s="143" t="s">
        <v>549</v>
      </c>
    </row>
    <row r="81" spans="1:1" ht="15" customHeight="1" x14ac:dyDescent="0.3">
      <c r="A81" s="143" t="s">
        <v>550</v>
      </c>
    </row>
    <row r="82" spans="1:1" ht="15" customHeight="1" x14ac:dyDescent="0.3">
      <c r="A82" s="143" t="s">
        <v>551</v>
      </c>
    </row>
    <row r="83" spans="1:1" ht="15" customHeight="1" x14ac:dyDescent="0.3">
      <c r="A83" s="143" t="s">
        <v>552</v>
      </c>
    </row>
    <row r="84" spans="1:1" ht="15" customHeight="1" x14ac:dyDescent="0.3">
      <c r="A84" s="143" t="s">
        <v>553</v>
      </c>
    </row>
    <row r="85" spans="1:1" ht="15" customHeight="1" x14ac:dyDescent="0.3">
      <c r="A85" s="143" t="s">
        <v>554</v>
      </c>
    </row>
    <row r="86" spans="1:1" ht="15" customHeight="1" x14ac:dyDescent="0.3">
      <c r="A86" s="143" t="s">
        <v>555</v>
      </c>
    </row>
    <row r="87" spans="1:1" ht="15" customHeight="1" x14ac:dyDescent="0.3">
      <c r="A87" s="143" t="s">
        <v>556</v>
      </c>
    </row>
    <row r="88" spans="1:1" ht="15" customHeight="1" x14ac:dyDescent="0.3">
      <c r="A88" s="143" t="s">
        <v>557</v>
      </c>
    </row>
    <row r="89" spans="1:1" ht="15" customHeight="1" x14ac:dyDescent="0.3">
      <c r="A89" s="144"/>
    </row>
    <row r="90" spans="1:1" ht="15" customHeight="1" x14ac:dyDescent="0.3">
      <c r="A90" s="143" t="s">
        <v>558</v>
      </c>
    </row>
    <row r="91" spans="1:1" ht="15" customHeight="1" x14ac:dyDescent="0.3">
      <c r="A91" s="144"/>
    </row>
    <row r="92" spans="1:1" ht="15" customHeight="1" x14ac:dyDescent="0.3">
      <c r="A92" s="143" t="s">
        <v>559</v>
      </c>
    </row>
    <row r="93" spans="1:1" ht="15" customHeight="1" x14ac:dyDescent="0.3">
      <c r="A93" s="143" t="s">
        <v>560</v>
      </c>
    </row>
    <row r="94" spans="1:1" ht="15" customHeight="1" x14ac:dyDescent="0.3">
      <c r="A94" s="143" t="s">
        <v>561</v>
      </c>
    </row>
    <row r="95" spans="1:1" ht="15" customHeight="1" x14ac:dyDescent="0.3">
      <c r="A95" s="143" t="s">
        <v>562</v>
      </c>
    </row>
    <row r="96" spans="1:1" ht="15" customHeight="1" x14ac:dyDescent="0.3">
      <c r="A96" s="147"/>
    </row>
    <row r="97" spans="1:1" ht="15" customHeight="1" x14ac:dyDescent="0.3">
      <c r="A97" s="143" t="s">
        <v>563</v>
      </c>
    </row>
    <row r="98" spans="1:1" ht="15" customHeight="1" x14ac:dyDescent="0.3">
      <c r="A98" s="143" t="s">
        <v>564</v>
      </c>
    </row>
    <row r="99" spans="1:1" ht="15" customHeight="1" x14ac:dyDescent="0.3">
      <c r="A99" s="143" t="s">
        <v>565</v>
      </c>
    </row>
    <row r="100" spans="1:1" ht="15" customHeight="1" x14ac:dyDescent="0.3">
      <c r="A100" s="143" t="s">
        <v>566</v>
      </c>
    </row>
    <row r="101" spans="1:1" ht="15" customHeight="1" x14ac:dyDescent="0.3">
      <c r="A101" s="143" t="s">
        <v>567</v>
      </c>
    </row>
    <row r="102" spans="1:1" ht="15" customHeight="1" x14ac:dyDescent="0.3">
      <c r="A102" s="143" t="s">
        <v>568</v>
      </c>
    </row>
    <row r="103" spans="1:1" ht="15" customHeight="1" x14ac:dyDescent="0.3">
      <c r="A103" s="147"/>
    </row>
    <row r="104" spans="1:1" ht="15" customHeight="1" x14ac:dyDescent="0.3">
      <c r="A104" s="143" t="s">
        <v>569</v>
      </c>
    </row>
    <row r="105" spans="1:1" ht="15" customHeight="1" x14ac:dyDescent="0.3">
      <c r="A105" s="143" t="s">
        <v>570</v>
      </c>
    </row>
    <row r="106" spans="1:1" ht="15" customHeight="1" x14ac:dyDescent="0.3">
      <c r="A106" s="143" t="s">
        <v>571</v>
      </c>
    </row>
    <row r="107" spans="1:1" ht="15" customHeight="1" x14ac:dyDescent="0.3">
      <c r="A107" s="144"/>
    </row>
    <row r="108" spans="1:1" ht="21.75" customHeight="1" x14ac:dyDescent="0.3">
      <c r="A108" s="146" t="s">
        <v>572</v>
      </c>
    </row>
    <row r="109" spans="1:1" ht="15" customHeight="1" x14ac:dyDescent="0.3">
      <c r="A109" s="144"/>
    </row>
    <row r="110" spans="1:1" ht="15" customHeight="1" x14ac:dyDescent="0.3">
      <c r="A110" s="148" t="s">
        <v>573</v>
      </c>
    </row>
    <row r="111" spans="1:1" ht="15" customHeight="1" x14ac:dyDescent="0.3">
      <c r="A111" s="143" t="s">
        <v>574</v>
      </c>
    </row>
    <row r="112" spans="1:1" ht="15" customHeight="1" x14ac:dyDescent="0.3">
      <c r="A112" s="143" t="s">
        <v>575</v>
      </c>
    </row>
    <row r="113" spans="1:1" ht="15" customHeight="1" x14ac:dyDescent="0.3">
      <c r="A113" s="143" t="s">
        <v>576</v>
      </c>
    </row>
    <row r="114" spans="1:1" ht="15" customHeight="1" x14ac:dyDescent="0.3">
      <c r="A114" s="143" t="s">
        <v>577</v>
      </c>
    </row>
    <row r="115" spans="1:1" ht="15" customHeight="1" x14ac:dyDescent="0.3">
      <c r="A115" s="143" t="s">
        <v>578</v>
      </c>
    </row>
    <row r="116" spans="1:1" ht="15" customHeight="1" x14ac:dyDescent="0.3">
      <c r="A116" s="143" t="s">
        <v>579</v>
      </c>
    </row>
    <row r="117" spans="1:1" ht="15" customHeight="1" x14ac:dyDescent="0.3">
      <c r="A117" s="149"/>
    </row>
    <row r="118" spans="1:1" ht="15" customHeight="1" x14ac:dyDescent="0.3">
      <c r="A118" s="148" t="s">
        <v>580</v>
      </c>
    </row>
    <row r="119" spans="1:1" ht="15" customHeight="1" x14ac:dyDescent="0.3">
      <c r="A119" s="143" t="s">
        <v>581</v>
      </c>
    </row>
    <row r="120" spans="1:1" ht="15" customHeight="1" x14ac:dyDescent="0.3">
      <c r="A120" s="143" t="s">
        <v>582</v>
      </c>
    </row>
    <row r="121" spans="1:1" ht="15" customHeight="1" x14ac:dyDescent="0.3">
      <c r="A121" s="143" t="s">
        <v>583</v>
      </c>
    </row>
    <row r="122" spans="1:1" ht="15" customHeight="1" x14ac:dyDescent="0.3">
      <c r="A122" s="143" t="s">
        <v>584</v>
      </c>
    </row>
    <row r="123" spans="1:1" ht="15" customHeight="1" x14ac:dyDescent="0.3">
      <c r="A123" s="143" t="s">
        <v>585</v>
      </c>
    </row>
    <row r="124" spans="1:1" ht="15" customHeight="1" x14ac:dyDescent="0.3">
      <c r="A124" s="143" t="s">
        <v>586</v>
      </c>
    </row>
    <row r="125" spans="1:1" ht="15" customHeight="1" x14ac:dyDescent="0.3">
      <c r="A125" s="143" t="s">
        <v>587</v>
      </c>
    </row>
    <row r="126" spans="1:1" ht="15" customHeight="1" x14ac:dyDescent="0.3">
      <c r="A126" s="143" t="s">
        <v>588</v>
      </c>
    </row>
    <row r="127" spans="1:1" ht="15" customHeight="1" x14ac:dyDescent="0.3">
      <c r="A127" s="143" t="s">
        <v>589</v>
      </c>
    </row>
    <row r="128" spans="1:1" ht="15" customHeight="1" x14ac:dyDescent="0.3">
      <c r="A128" s="143" t="s">
        <v>590</v>
      </c>
    </row>
    <row r="129" spans="1:1" ht="15" customHeight="1" x14ac:dyDescent="0.3">
      <c r="A129" s="143" t="s">
        <v>591</v>
      </c>
    </row>
    <row r="130" spans="1:1" ht="15" customHeight="1" x14ac:dyDescent="0.3">
      <c r="A130" s="149"/>
    </row>
    <row r="131" spans="1:1" ht="15" customHeight="1" x14ac:dyDescent="0.3">
      <c r="A131" s="148" t="s">
        <v>592</v>
      </c>
    </row>
    <row r="132" spans="1:1" ht="15" customHeight="1" x14ac:dyDescent="0.3">
      <c r="A132" s="143" t="s">
        <v>593</v>
      </c>
    </row>
    <row r="133" spans="1:1" ht="15" customHeight="1" x14ac:dyDescent="0.3">
      <c r="A133" s="143" t="s">
        <v>594</v>
      </c>
    </row>
    <row r="134" spans="1:1" ht="15" customHeight="1" x14ac:dyDescent="0.3">
      <c r="A134" s="150"/>
    </row>
    <row r="135" spans="1:1" ht="21.75" customHeight="1" x14ac:dyDescent="0.3">
      <c r="A135" s="146" t="s">
        <v>595</v>
      </c>
    </row>
    <row r="136" spans="1:1" ht="15" customHeight="1" x14ac:dyDescent="0.3">
      <c r="A136" s="143" t="s">
        <v>596</v>
      </c>
    </row>
    <row r="137" spans="1:1" ht="15" customHeight="1" x14ac:dyDescent="0.3">
      <c r="A137" s="143" t="s">
        <v>597</v>
      </c>
    </row>
    <row r="138" spans="1:1" ht="15" customHeight="1" x14ac:dyDescent="0.3">
      <c r="A138" s="143" t="s">
        <v>598</v>
      </c>
    </row>
    <row r="139" spans="1:1" ht="15" customHeight="1" x14ac:dyDescent="0.3">
      <c r="A139" s="143" t="s">
        <v>599</v>
      </c>
    </row>
    <row r="140" spans="1:1" ht="15" customHeight="1" x14ac:dyDescent="0.3">
      <c r="A140" s="143" t="s">
        <v>600</v>
      </c>
    </row>
    <row r="141" spans="1:1" ht="15" customHeight="1" x14ac:dyDescent="0.3">
      <c r="A141" s="149"/>
    </row>
    <row r="142" spans="1:1" ht="21.75" customHeight="1" x14ac:dyDescent="0.3">
      <c r="A142" s="146" t="s">
        <v>601</v>
      </c>
    </row>
    <row r="143" spans="1:1" ht="15" customHeight="1" x14ac:dyDescent="0.3">
      <c r="A143" s="143" t="s">
        <v>602</v>
      </c>
    </row>
    <row r="144" spans="1:1" ht="15" customHeight="1" x14ac:dyDescent="0.3">
      <c r="A144" s="143" t="s">
        <v>603</v>
      </c>
    </row>
    <row r="145" spans="1:1" ht="15" customHeight="1" x14ac:dyDescent="0.3">
      <c r="A145" s="143" t="s">
        <v>604</v>
      </c>
    </row>
    <row r="146" spans="1:1" ht="15" customHeight="1" x14ac:dyDescent="0.3">
      <c r="A146" s="143" t="s">
        <v>605</v>
      </c>
    </row>
    <row r="147" spans="1:1" ht="15" customHeight="1" x14ac:dyDescent="0.3">
      <c r="A147" s="143" t="s">
        <v>606</v>
      </c>
    </row>
    <row r="148" spans="1:1" ht="15" customHeight="1" x14ac:dyDescent="0.3">
      <c r="A148" s="143" t="s">
        <v>607</v>
      </c>
    </row>
    <row r="149" spans="1:1" ht="15" customHeight="1" x14ac:dyDescent="0.3">
      <c r="A149" s="143" t="s">
        <v>608</v>
      </c>
    </row>
    <row r="150" spans="1:1" ht="15" customHeight="1" x14ac:dyDescent="0.3">
      <c r="A150" s="143" t="s">
        <v>609</v>
      </c>
    </row>
    <row r="151" spans="1:1" ht="15" customHeight="1" x14ac:dyDescent="0.3">
      <c r="A151" s="151"/>
    </row>
    <row r="152" spans="1:1" ht="21.75" customHeight="1" x14ac:dyDescent="0.3">
      <c r="A152" s="146" t="s">
        <v>610</v>
      </c>
    </row>
    <row r="153" spans="1:1" ht="15" customHeight="1" x14ac:dyDescent="0.3">
      <c r="A153" s="143" t="s">
        <v>611</v>
      </c>
    </row>
    <row r="154" spans="1:1" ht="15" customHeight="1" x14ac:dyDescent="0.3">
      <c r="A154" s="53"/>
    </row>
    <row r="155" spans="1:1" ht="15" customHeight="1" x14ac:dyDescent="0.3">
      <c r="A155" s="143" t="s">
        <v>612</v>
      </c>
    </row>
    <row r="156" spans="1:1" ht="15" customHeight="1" x14ac:dyDescent="0.3">
      <c r="A156" s="143" t="s">
        <v>613</v>
      </c>
    </row>
    <row r="157" spans="1:1" ht="15" customHeight="1" x14ac:dyDescent="0.3">
      <c r="A157" s="143" t="s">
        <v>614</v>
      </c>
    </row>
    <row r="158" spans="1:1" ht="15" customHeight="1" x14ac:dyDescent="0.3">
      <c r="A158" s="143" t="s">
        <v>615</v>
      </c>
    </row>
    <row r="159" spans="1:1" ht="15" customHeight="1" x14ac:dyDescent="0.3">
      <c r="A159" s="143" t="s">
        <v>616</v>
      </c>
    </row>
    <row r="160" spans="1:1" ht="15" customHeight="1" x14ac:dyDescent="0.3">
      <c r="A160" s="143" t="s">
        <v>617</v>
      </c>
    </row>
    <row r="161" spans="1:1" ht="15" customHeight="1" x14ac:dyDescent="0.3">
      <c r="A161" s="143" t="s">
        <v>618</v>
      </c>
    </row>
    <row r="162" spans="1:1" ht="15" customHeight="1" x14ac:dyDescent="0.3">
      <c r="A162" s="143" t="s">
        <v>619</v>
      </c>
    </row>
    <row r="163" spans="1:1" ht="15" customHeight="1" x14ac:dyDescent="0.3">
      <c r="A163" s="143" t="s">
        <v>620</v>
      </c>
    </row>
    <row r="164" spans="1:1" ht="15" customHeight="1" x14ac:dyDescent="0.3">
      <c r="A164" s="53"/>
    </row>
    <row r="165" spans="1:1" ht="15" customHeight="1" x14ac:dyDescent="0.3">
      <c r="A165" s="145" t="s">
        <v>621</v>
      </c>
    </row>
    <row r="166" spans="1:1" ht="15" customHeight="1" x14ac:dyDescent="0.3">
      <c r="A166" s="143" t="s">
        <v>622</v>
      </c>
    </row>
    <row r="167" spans="1:1" ht="15" customHeight="1" x14ac:dyDescent="0.3">
      <c r="A167" s="53"/>
    </row>
    <row r="168" spans="1:1" ht="15" customHeight="1" x14ac:dyDescent="0.3">
      <c r="A168" s="143" t="s">
        <v>623</v>
      </c>
    </row>
    <row r="169" spans="1:1" ht="15" customHeight="1" x14ac:dyDescent="0.3">
      <c r="A169" s="53"/>
    </row>
    <row r="170" spans="1:1" ht="15" customHeight="1" x14ac:dyDescent="0.3">
      <c r="A170" s="143" t="s">
        <v>624</v>
      </c>
    </row>
    <row r="171" spans="1:1" ht="15" customHeight="1" x14ac:dyDescent="0.3">
      <c r="A171" s="53"/>
    </row>
    <row r="172" spans="1:1" ht="15" customHeight="1" x14ac:dyDescent="0.3">
      <c r="A172" s="143" t="s">
        <v>625</v>
      </c>
    </row>
    <row r="173" spans="1:1" ht="15" customHeight="1" x14ac:dyDescent="0.3">
      <c r="A173" s="143" t="s">
        <v>626</v>
      </c>
    </row>
    <row r="174" spans="1:1" ht="15" customHeight="1" x14ac:dyDescent="0.3">
      <c r="A174" s="143" t="s">
        <v>627</v>
      </c>
    </row>
    <row r="175" spans="1:1" ht="15" customHeight="1" x14ac:dyDescent="0.3">
      <c r="A175" s="143" t="s">
        <v>628</v>
      </c>
    </row>
    <row r="176" spans="1:1" ht="15" customHeight="1" x14ac:dyDescent="0.3">
      <c r="A176" s="143" t="s">
        <v>629</v>
      </c>
    </row>
    <row r="177" spans="1:1" ht="15" customHeight="1" x14ac:dyDescent="0.3">
      <c r="A177" s="143" t="s">
        <v>630</v>
      </c>
    </row>
    <row r="178" spans="1:1" ht="15" customHeight="1" x14ac:dyDescent="0.3">
      <c r="A178" s="53"/>
    </row>
    <row r="179" spans="1:1" ht="15" customHeight="1" x14ac:dyDescent="0.3">
      <c r="A179" s="143" t="s">
        <v>631</v>
      </c>
    </row>
    <row r="180" spans="1:1" ht="15" customHeight="1" x14ac:dyDescent="0.3">
      <c r="A180" s="143" t="s">
        <v>632</v>
      </c>
    </row>
    <row r="181" spans="1:1" ht="15" customHeight="1" x14ac:dyDescent="0.3">
      <c r="A181" s="143" t="s">
        <v>633</v>
      </c>
    </row>
    <row r="182" spans="1:1" ht="15" customHeight="1" x14ac:dyDescent="0.3">
      <c r="A182" s="143" t="s">
        <v>634</v>
      </c>
    </row>
    <row r="183" spans="1:1" ht="15" customHeight="1" x14ac:dyDescent="0.3">
      <c r="A183" s="143" t="s">
        <v>635</v>
      </c>
    </row>
    <row r="184" spans="1:1" ht="15" customHeight="1" x14ac:dyDescent="0.3">
      <c r="A184" s="143" t="s">
        <v>636</v>
      </c>
    </row>
    <row r="185" spans="1:1" ht="15" customHeight="1" x14ac:dyDescent="0.3">
      <c r="A185" s="53"/>
    </row>
    <row r="186" spans="1:1" ht="15" customHeight="1" x14ac:dyDescent="0.3">
      <c r="A186" s="143" t="s">
        <v>637</v>
      </c>
    </row>
    <row r="187" spans="1:1" ht="15" customHeight="1" x14ac:dyDescent="0.3">
      <c r="A187" s="143" t="s">
        <v>638</v>
      </c>
    </row>
    <row r="188" spans="1:1" ht="15" customHeight="1" x14ac:dyDescent="0.3">
      <c r="A188" s="143" t="s">
        <v>639</v>
      </c>
    </row>
    <row r="189" spans="1:1" ht="15" customHeight="1" x14ac:dyDescent="0.3">
      <c r="A189" s="143" t="s">
        <v>640</v>
      </c>
    </row>
    <row r="190" spans="1:1" ht="15" customHeight="1" x14ac:dyDescent="0.3">
      <c r="A190" s="143" t="s">
        <v>641</v>
      </c>
    </row>
    <row r="191" spans="1:1" ht="15" customHeight="1" x14ac:dyDescent="0.3">
      <c r="A191" s="143" t="s">
        <v>642</v>
      </c>
    </row>
    <row r="192" spans="1:1" ht="15" customHeight="1" x14ac:dyDescent="0.3">
      <c r="A192" s="143" t="s">
        <v>643</v>
      </c>
    </row>
    <row r="193" spans="1:1" ht="15" customHeight="1" x14ac:dyDescent="0.3">
      <c r="A193" s="53"/>
    </row>
    <row r="194" spans="1:1" ht="15" customHeight="1" x14ac:dyDescent="0.3">
      <c r="A194" s="152" t="s">
        <v>644</v>
      </c>
    </row>
    <row r="195" spans="1:1" ht="15" customHeight="1" x14ac:dyDescent="0.3">
      <c r="A195" s="153" t="s">
        <v>645</v>
      </c>
    </row>
    <row r="196" spans="1:1" ht="15" customHeight="1" x14ac:dyDescent="0.3">
      <c r="A196" s="153" t="s">
        <v>646</v>
      </c>
    </row>
    <row r="197" spans="1:1" ht="15" customHeight="1" x14ac:dyDescent="0.3">
      <c r="A197" s="153" t="s">
        <v>647</v>
      </c>
    </row>
    <row r="198" spans="1:1" ht="15" customHeight="1" x14ac:dyDescent="0.3">
      <c r="A198" s="153" t="s">
        <v>648</v>
      </c>
    </row>
    <row r="199" spans="1:1" ht="15" customHeight="1" x14ac:dyDescent="0.3">
      <c r="A199" s="153" t="s">
        <v>649</v>
      </c>
    </row>
    <row r="200" spans="1:1" ht="15" customHeight="1" x14ac:dyDescent="0.3">
      <c r="A200" s="153" t="s">
        <v>650</v>
      </c>
    </row>
    <row r="201" spans="1:1" ht="15" customHeight="1" x14ac:dyDescent="0.3">
      <c r="A201" s="153"/>
    </row>
    <row r="202" spans="1:1" ht="15" customHeight="1" x14ac:dyDescent="0.3">
      <c r="A202" s="152" t="s">
        <v>651</v>
      </c>
    </row>
    <row r="203" spans="1:1" ht="15" customHeight="1" x14ac:dyDescent="0.3">
      <c r="A203" s="153" t="s">
        <v>652</v>
      </c>
    </row>
    <row r="204" spans="1:1" ht="15" customHeight="1" x14ac:dyDescent="0.3">
      <c r="A204" s="153" t="s">
        <v>653</v>
      </c>
    </row>
    <row r="205" spans="1:1" ht="15" customHeight="1" x14ac:dyDescent="0.3">
      <c r="A205" s="153" t="s">
        <v>654</v>
      </c>
    </row>
    <row r="206" spans="1:1" ht="15" customHeight="1" x14ac:dyDescent="0.3">
      <c r="A206" s="153" t="s">
        <v>655</v>
      </c>
    </row>
    <row r="207" spans="1:1" ht="15" customHeight="1" x14ac:dyDescent="0.3">
      <c r="A207" s="153" t="s">
        <v>656</v>
      </c>
    </row>
    <row r="208" spans="1:1" ht="15" customHeight="1" x14ac:dyDescent="0.3">
      <c r="A208" s="153" t="s">
        <v>657</v>
      </c>
    </row>
    <row r="209" spans="1:1" ht="15" customHeight="1" x14ac:dyDescent="0.3">
      <c r="A209" s="153" t="s">
        <v>658</v>
      </c>
    </row>
    <row r="210" spans="1:1" ht="15" customHeight="1" x14ac:dyDescent="0.3">
      <c r="A210" s="153" t="s">
        <v>659</v>
      </c>
    </row>
    <row r="211" spans="1:1" ht="15" customHeight="1" x14ac:dyDescent="0.3">
      <c r="A211" s="153" t="s">
        <v>660</v>
      </c>
    </row>
    <row r="212" spans="1:1" ht="15" customHeight="1" x14ac:dyDescent="0.3">
      <c r="A212" s="153" t="s">
        <v>661</v>
      </c>
    </row>
    <row r="213" spans="1:1" ht="15" customHeight="1" x14ac:dyDescent="0.3">
      <c r="A213" s="153" t="s">
        <v>662</v>
      </c>
    </row>
    <row r="214" spans="1:1" ht="15" customHeight="1" x14ac:dyDescent="0.3">
      <c r="A214" s="53"/>
    </row>
    <row r="215" spans="1:1" ht="15" customHeight="1" x14ac:dyDescent="0.3">
      <c r="A215" s="152" t="s">
        <v>663</v>
      </c>
    </row>
    <row r="216" spans="1:1" ht="15" customHeight="1" x14ac:dyDescent="0.3">
      <c r="A216" s="153" t="s">
        <v>664</v>
      </c>
    </row>
    <row r="217" spans="1:1" ht="15" customHeight="1" x14ac:dyDescent="0.3">
      <c r="A217" s="153" t="s">
        <v>665</v>
      </c>
    </row>
    <row r="218" spans="1:1" ht="14.25" customHeight="1" x14ac:dyDescent="0.3">
      <c r="A218" s="153" t="s">
        <v>666</v>
      </c>
    </row>
    <row r="219" spans="1:1" ht="14.25" customHeight="1" x14ac:dyDescent="0.3">
      <c r="A219" s="153" t="s">
        <v>667</v>
      </c>
    </row>
    <row r="220" spans="1:1" ht="14.25" customHeight="1" x14ac:dyDescent="0.3">
      <c r="A220" s="153" t="s">
        <v>668</v>
      </c>
    </row>
    <row r="221" spans="1:1" ht="14.25" customHeight="1" x14ac:dyDescent="0.3">
      <c r="A221" s="153" t="s">
        <v>669</v>
      </c>
    </row>
    <row r="222" spans="1:1" ht="14.25" customHeight="1" x14ac:dyDescent="0.3">
      <c r="A222" s="153" t="s">
        <v>670</v>
      </c>
    </row>
    <row r="223" spans="1:1" ht="14.25" customHeight="1" x14ac:dyDescent="0.3">
      <c r="A223" s="153"/>
    </row>
    <row r="225" spans="1:1" x14ac:dyDescent="0.3">
      <c r="A225" s="154" t="s">
        <v>671</v>
      </c>
    </row>
    <row r="227" spans="1:1" x14ac:dyDescent="0.3">
      <c r="A227" s="155" t="s">
        <v>672</v>
      </c>
    </row>
    <row r="229" spans="1:1" x14ac:dyDescent="0.3">
      <c r="A229" s="155" t="s">
        <v>673</v>
      </c>
    </row>
    <row r="230" spans="1:1" x14ac:dyDescent="0.3">
      <c r="A230" s="155" t="s">
        <v>674</v>
      </c>
    </row>
    <row r="231" spans="1:1" x14ac:dyDescent="0.3">
      <c r="A231" s="155" t="s">
        <v>675</v>
      </c>
    </row>
    <row r="233" spans="1:1" x14ac:dyDescent="0.3">
      <c r="A233" s="155" t="s">
        <v>676</v>
      </c>
    </row>
    <row r="234" spans="1:1" x14ac:dyDescent="0.3">
      <c r="A234" s="155" t="s">
        <v>677</v>
      </c>
    </row>
    <row r="235" spans="1:1" x14ac:dyDescent="0.3">
      <c r="A235" s="155" t="s">
        <v>678</v>
      </c>
    </row>
    <row r="237" spans="1:1" x14ac:dyDescent="0.3">
      <c r="A237" s="155" t="s">
        <v>679</v>
      </c>
    </row>
    <row r="238" spans="1:1" x14ac:dyDescent="0.3">
      <c r="A238" s="155" t="s">
        <v>680</v>
      </c>
    </row>
    <row r="240" spans="1:1" x14ac:dyDescent="0.3">
      <c r="A240" s="155" t="s">
        <v>681</v>
      </c>
    </row>
    <row r="241" spans="1:1" x14ac:dyDescent="0.3">
      <c r="A241" s="155" t="s">
        <v>682</v>
      </c>
    </row>
    <row r="243" spans="1:1" x14ac:dyDescent="0.3">
      <c r="A243" s="155" t="s">
        <v>683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7</vt:i4>
      </vt:variant>
    </vt:vector>
  </HeadingPairs>
  <TitlesOfParts>
    <vt:vector size="13" baseType="lpstr">
      <vt:lpstr>GUIDE</vt:lpstr>
      <vt:lpstr>SAISIE</vt:lpstr>
      <vt:lpstr>DIAGNOSTIC</vt:lpstr>
      <vt:lpstr>PLAN D'ACTION</vt:lpstr>
      <vt:lpstr>FICHE QUALITÉ</vt:lpstr>
      <vt:lpstr>_REF</vt:lpstr>
      <vt:lpstr>SAISIE!Impression_des_titres</vt:lpstr>
      <vt:lpstr>_REF!Zone_d_impression</vt:lpstr>
      <vt:lpstr>DIAGNOSTIC!Zone_d_impression</vt:lpstr>
      <vt:lpstr>'FICHE QUALITÉ'!Zone_d_impression</vt:lpstr>
      <vt:lpstr>GUIDE!Zone_d_impression</vt:lpstr>
      <vt:lpstr>'PLAN D''ACTION'!Zone_d_impression</vt:lpstr>
      <vt:lpstr>SAISIE!Zone_d_impression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Annexe 22 — Grille de suivi formation continue</dc:title>
  <dc:subject>Formation continue — Art. 22 Code de déontologie</dc:subject>
  <dc:creator>Cabinet Digit Expertise</dc:creator>
  <cp:keywords>formation NPMQ OPCO Atlas compétences DEC</cp:keywords>
  <dc:description/>
  <cp:lastModifiedBy>Adel BARKALLAH</cp:lastModifiedBy>
  <cp:revision>17</cp:revision>
  <dcterms:created xsi:type="dcterms:W3CDTF">2026-02-12T15:02:39Z</dcterms:created>
  <dcterms:modified xsi:type="dcterms:W3CDTF">2026-02-24T15:10:51Z</dcterms:modified>
  <cp:category>Mémoire DEC — Annexes opérationnelles</cp:category>
  <dc:language>en-US</dc:language>
</cp:coreProperties>
</file>