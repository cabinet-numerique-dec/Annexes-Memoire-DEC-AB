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110" documentId="13_ncr:20001_{5E6FDCBA-B736-4754-A737-FA6783471642}" xr6:coauthVersionLast="47" xr6:coauthVersionMax="47" xr10:uidLastSave="{CB99BD5E-4212-4E2F-B410-0BAA91766085}"/>
  <workbookProtection workbookAlgorithmName="SHA-512" workbookHashValue="/3tkRgKSQqmOoDvfOfGNnyAfU7aPAjZcih+yDPkSCzE1YWcT0Rw8vdL5I41fsH0JX4A0viXcm2sDkFp2v9L17w==" workbookSaltValue="l2CGyUMJonr7fWiV6BzRcQ==" workbookSpinCount="100000" lockStructure="1"/>
  <bookViews>
    <workbookView xWindow="-28920" yWindow="-45" windowWidth="29040" windowHeight="15720" tabRatio="713" xr2:uid="{00000000-000D-0000-FFFF-FFFF00000000}"/>
  </bookViews>
  <sheets>
    <sheet name="ACCUEIL" sheetId="1" r:id="rId1"/>
    <sheet name="SAISIE" sheetId="2" r:id="rId2"/>
    <sheet name="Tableau de bord KPI" sheetId="3" r:id="rId3"/>
    <sheet name="Synthèse" sheetId="4" r:id="rId4"/>
    <sheet name="Bilan" sheetId="5" r:id="rId5"/>
    <sheet name="Plan de Financement" sheetId="6" r:id="rId6"/>
    <sheet name="Compte de Résultat" sheetId="7" r:id="rId7"/>
    <sheet name="Plan de trésorerie" sheetId="8" r:id="rId8"/>
    <sheet name="Prévisions mensuelles" sheetId="10" r:id="rId9"/>
    <sheet name="Personnel" sheetId="11" r:id="rId10"/>
  </sheets>
  <definedNames>
    <definedName name="_xlnm.Print_Titles" localSheetId="8">'Prévisions mensuelles'!$B:$B</definedName>
    <definedName name="_xlnm.Print_Area" localSheetId="4">Bilan!$B$1:$F$42</definedName>
    <definedName name="_xlnm.Print_Area" localSheetId="6">'Compte de Résultat'!$B$1:$F$36</definedName>
    <definedName name="_xlnm.Print_Area" localSheetId="5">'Plan de Financement'!$B$1:$F$21</definedName>
    <definedName name="_xlnm.Print_Area" localSheetId="8">'Prévisions mensuelles'!$B$2:$AO$172</definedName>
    <definedName name="_xlnm.Print_Area" localSheetId="3">Synthèse!$B$1:$E$19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11" l="1"/>
  <c r="AG6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F19" i="11"/>
  <c r="AE19" i="11"/>
  <c r="AD19" i="11"/>
  <c r="AC19" i="11"/>
  <c r="AB19" i="11"/>
  <c r="AA19" i="11"/>
  <c r="Y19" i="11"/>
  <c r="X19" i="11"/>
  <c r="W19" i="11"/>
  <c r="V19" i="11"/>
  <c r="U19" i="11"/>
  <c r="AU17" i="11"/>
  <c r="AO57" i="10" s="1"/>
  <c r="AO58" i="10" s="1"/>
  <c r="AT17" i="11"/>
  <c r="AS17" i="11"/>
  <c r="AR17" i="11"/>
  <c r="AQ17" i="11"/>
  <c r="AP17" i="11"/>
  <c r="AJ57" i="10" s="1"/>
  <c r="AJ58" i="10" s="1"/>
  <c r="AO17" i="11"/>
  <c r="AI57" i="10" s="1"/>
  <c r="AI58" i="10" s="1"/>
  <c r="AN17" i="11"/>
  <c r="AM17" i="11"/>
  <c r="AG57" i="10" s="1"/>
  <c r="AG58" i="10" s="1"/>
  <c r="AL17" i="11"/>
  <c r="AK17" i="11"/>
  <c r="AJ17" i="11"/>
  <c r="AD57" i="10" s="1"/>
  <c r="AD58" i="10" s="1"/>
  <c r="AF17" i="11"/>
  <c r="AE17" i="11"/>
  <c r="AA57" i="10" s="1"/>
  <c r="AA58" i="10" s="1"/>
  <c r="AD17" i="11"/>
  <c r="Z57" i="10" s="1"/>
  <c r="Z58" i="10" s="1"/>
  <c r="AC17" i="11"/>
  <c r="Y57" i="10" s="1"/>
  <c r="Y58" i="10" s="1"/>
  <c r="AB17" i="11"/>
  <c r="AA17" i="11"/>
  <c r="W57" i="10" s="1"/>
  <c r="W58" i="10" s="1"/>
  <c r="Z17" i="11"/>
  <c r="V57" i="10" s="1"/>
  <c r="V58" i="10" s="1"/>
  <c r="Y17" i="11"/>
  <c r="U57" i="10" s="1"/>
  <c r="U58" i="10" s="1"/>
  <c r="X17" i="11"/>
  <c r="W17" i="11"/>
  <c r="S57" i="10" s="1"/>
  <c r="S58" i="10" s="1"/>
  <c r="V17" i="11"/>
  <c r="R57" i="10" s="1"/>
  <c r="R58" i="10" s="1"/>
  <c r="U17" i="11"/>
  <c r="AV16" i="11"/>
  <c r="AG16" i="11"/>
  <c r="AV15" i="11"/>
  <c r="AG15" i="11"/>
  <c r="AV14" i="11"/>
  <c r="AG14" i="11"/>
  <c r="AV13" i="11"/>
  <c r="AG13" i="11"/>
  <c r="AV12" i="11"/>
  <c r="AG12" i="11"/>
  <c r="R12" i="11"/>
  <c r="AV11" i="11"/>
  <c r="AG11" i="11"/>
  <c r="R11" i="11"/>
  <c r="AV10" i="11"/>
  <c r="AG10" i="11"/>
  <c r="R10" i="11"/>
  <c r="AV9" i="11"/>
  <c r="AG9" i="11"/>
  <c r="R9" i="11"/>
  <c r="AV8" i="11"/>
  <c r="AG8" i="11"/>
  <c r="R8" i="11"/>
  <c r="AV7" i="11"/>
  <c r="AG7" i="11"/>
  <c r="R7" i="11"/>
  <c r="AV6" i="11"/>
  <c r="Q6" i="11"/>
  <c r="Q19" i="11" s="1"/>
  <c r="P6" i="11"/>
  <c r="P17" i="11" s="1"/>
  <c r="O6" i="11"/>
  <c r="O17" i="11" s="1"/>
  <c r="N6" i="11"/>
  <c r="N19" i="11" s="1"/>
  <c r="M6" i="11"/>
  <c r="M17" i="11" s="1"/>
  <c r="L6" i="11"/>
  <c r="L17" i="11" s="1"/>
  <c r="K6" i="11"/>
  <c r="K17" i="11" s="1"/>
  <c r="J6" i="11"/>
  <c r="J19" i="11" s="1"/>
  <c r="I6" i="11"/>
  <c r="I19" i="11" s="1"/>
  <c r="H6" i="11"/>
  <c r="H17" i="11" s="1"/>
  <c r="G6" i="11"/>
  <c r="G17" i="11" s="1"/>
  <c r="F6" i="11"/>
  <c r="F19" i="11" s="1"/>
  <c r="AK4" i="1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V4" i="1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I4" i="11"/>
  <c r="J4" i="11" s="1"/>
  <c r="K4" i="11" s="1"/>
  <c r="L4" i="11" s="1"/>
  <c r="M4" i="11" s="1"/>
  <c r="N4" i="11" s="1"/>
  <c r="O4" i="11" s="1"/>
  <c r="P4" i="11" s="1"/>
  <c r="Q4" i="11" s="1"/>
  <c r="G4" i="11"/>
  <c r="H4" i="11" s="1"/>
  <c r="D196" i="10"/>
  <c r="F194" i="10"/>
  <c r="G194" i="10" s="1"/>
  <c r="H194" i="10" s="1"/>
  <c r="I194" i="10" s="1"/>
  <c r="J194" i="10" s="1"/>
  <c r="K194" i="10" s="1"/>
  <c r="L194" i="10" s="1"/>
  <c r="M194" i="10" s="1"/>
  <c r="N194" i="10" s="1"/>
  <c r="O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D194" i="10" s="1"/>
  <c r="AE194" i="10" s="1"/>
  <c r="AF194" i="10" s="1"/>
  <c r="AG194" i="10" s="1"/>
  <c r="AH194" i="10" s="1"/>
  <c r="AI194" i="10" s="1"/>
  <c r="AJ194" i="10" s="1"/>
  <c r="AK194" i="10" s="1"/>
  <c r="AL194" i="10" s="1"/>
  <c r="AM194" i="10" s="1"/>
  <c r="AN194" i="10" s="1"/>
  <c r="AO194" i="10" s="1"/>
  <c r="P192" i="10"/>
  <c r="AC192" i="10" s="1"/>
  <c r="P191" i="10"/>
  <c r="AC191" i="10" s="1"/>
  <c r="P190" i="10"/>
  <c r="AC190" i="10" s="1"/>
  <c r="C190" i="10"/>
  <c r="D182" i="10"/>
  <c r="D185" i="10" s="1"/>
  <c r="D184" i="10" s="1"/>
  <c r="D186" i="10" s="1"/>
  <c r="E182" i="10" s="1"/>
  <c r="K180" i="10"/>
  <c r="L180" i="10" s="1"/>
  <c r="M180" i="10" s="1"/>
  <c r="N180" i="10" s="1"/>
  <c r="O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D180" i="10" s="1"/>
  <c r="AE180" i="10" s="1"/>
  <c r="AF180" i="10" s="1"/>
  <c r="AG180" i="10" s="1"/>
  <c r="AH180" i="10" s="1"/>
  <c r="AI180" i="10" s="1"/>
  <c r="AJ180" i="10" s="1"/>
  <c r="AK180" i="10" s="1"/>
  <c r="AL180" i="10" s="1"/>
  <c r="AM180" i="10" s="1"/>
  <c r="AN180" i="10" s="1"/>
  <c r="AO180" i="10" s="1"/>
  <c r="G180" i="10"/>
  <c r="H180" i="10" s="1"/>
  <c r="I180" i="10" s="1"/>
  <c r="J180" i="10" s="1"/>
  <c r="F180" i="10"/>
  <c r="P178" i="10"/>
  <c r="AC178" i="10" s="1"/>
  <c r="AC177" i="10"/>
  <c r="P177" i="10"/>
  <c r="AC176" i="10"/>
  <c r="P176" i="10"/>
  <c r="AO169" i="10"/>
  <c r="AM169" i="10"/>
  <c r="X169" i="10"/>
  <c r="V169" i="10"/>
  <c r="G169" i="10"/>
  <c r="E169" i="10"/>
  <c r="E118" i="10" s="1"/>
  <c r="H166" i="10"/>
  <c r="I166" i="10" s="1"/>
  <c r="J166" i="10" s="1"/>
  <c r="K166" i="10" s="1"/>
  <c r="L166" i="10" s="1"/>
  <c r="M166" i="10" s="1"/>
  <c r="N166" i="10" s="1"/>
  <c r="O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D166" i="10" s="1"/>
  <c r="AE166" i="10" s="1"/>
  <c r="AF166" i="10" s="1"/>
  <c r="AG166" i="10" s="1"/>
  <c r="AH166" i="10" s="1"/>
  <c r="AI166" i="10" s="1"/>
  <c r="AJ166" i="10" s="1"/>
  <c r="AK166" i="10" s="1"/>
  <c r="AL166" i="10" s="1"/>
  <c r="AM166" i="10" s="1"/>
  <c r="AN166" i="10" s="1"/>
  <c r="AO166" i="10" s="1"/>
  <c r="G166" i="10"/>
  <c r="F166" i="10"/>
  <c r="AC164" i="10"/>
  <c r="D164" i="10"/>
  <c r="AC163" i="10"/>
  <c r="D163" i="10"/>
  <c r="P162" i="10"/>
  <c r="AC162" i="10" s="1"/>
  <c r="D162" i="10"/>
  <c r="AG169" i="10" s="1"/>
  <c r="AC142" i="10"/>
  <c r="P142" i="10"/>
  <c r="Q139" i="10"/>
  <c r="D139" i="10"/>
  <c r="AC138" i="10"/>
  <c r="P138" i="10"/>
  <c r="C138" i="10"/>
  <c r="C125" i="10"/>
  <c r="D120" i="10"/>
  <c r="D16" i="8" s="1"/>
  <c r="AO118" i="10"/>
  <c r="AM118" i="10"/>
  <c r="X118" i="10"/>
  <c r="V118" i="10"/>
  <c r="G118" i="10"/>
  <c r="AC115" i="10"/>
  <c r="P115" i="10"/>
  <c r="C115" i="10"/>
  <c r="AO114" i="10"/>
  <c r="AN114" i="10"/>
  <c r="AM114" i="10"/>
  <c r="AL114" i="10"/>
  <c r="AK114" i="10"/>
  <c r="AJ114" i="10"/>
  <c r="AI114" i="10"/>
  <c r="AH114" i="10"/>
  <c r="AG114" i="10"/>
  <c r="AF114" i="10"/>
  <c r="AC114" i="10" s="1"/>
  <c r="AE114" i="10"/>
  <c r="AD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 s="1"/>
  <c r="O114" i="10"/>
  <c r="N114" i="10"/>
  <c r="M114" i="10"/>
  <c r="L114" i="10"/>
  <c r="K114" i="10"/>
  <c r="J114" i="10"/>
  <c r="I114" i="10"/>
  <c r="H114" i="10"/>
  <c r="C114" i="10" s="1"/>
  <c r="G114" i="10"/>
  <c r="F114" i="10"/>
  <c r="AC112" i="10"/>
  <c r="P112" i="10"/>
  <c r="D112" i="10"/>
  <c r="D111" i="10" s="1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AC102" i="10"/>
  <c r="P102" i="10"/>
  <c r="C102" i="10"/>
  <c r="AC101" i="10"/>
  <c r="P101" i="10"/>
  <c r="C101" i="10"/>
  <c r="AC100" i="10"/>
  <c r="P100" i="10"/>
  <c r="C100" i="10"/>
  <c r="AC99" i="10"/>
  <c r="AC103" i="10" s="1"/>
  <c r="P99" i="10"/>
  <c r="P103" i="10" s="1"/>
  <c r="C99" i="10"/>
  <c r="C103" i="10" s="1"/>
  <c r="AC91" i="10"/>
  <c r="P91" i="10"/>
  <c r="C91" i="10"/>
  <c r="AD85" i="10"/>
  <c r="V85" i="10"/>
  <c r="N85" i="10"/>
  <c r="F85" i="10"/>
  <c r="AC84" i="10"/>
  <c r="P84" i="10"/>
  <c r="C84" i="10"/>
  <c r="AC83" i="10"/>
  <c r="P83" i="10"/>
  <c r="C83" i="10"/>
  <c r="AO82" i="10"/>
  <c r="AN82" i="10"/>
  <c r="AM82" i="10"/>
  <c r="AL82" i="10"/>
  <c r="AK82" i="10"/>
  <c r="AJ82" i="10"/>
  <c r="AI82" i="10"/>
  <c r="AI85" i="10" s="1"/>
  <c r="AH82" i="10"/>
  <c r="AG82" i="10"/>
  <c r="AF82" i="10"/>
  <c r="AE82" i="10"/>
  <c r="AD82" i="10"/>
  <c r="AC82" i="10"/>
  <c r="AB82" i="10"/>
  <c r="AA82" i="10"/>
  <c r="AA85" i="10" s="1"/>
  <c r="Z82" i="10"/>
  <c r="Y82" i="10"/>
  <c r="X82" i="10"/>
  <c r="W82" i="10"/>
  <c r="V82" i="10"/>
  <c r="U82" i="10"/>
  <c r="T82" i="10"/>
  <c r="S82" i="10"/>
  <c r="S85" i="10" s="1"/>
  <c r="R82" i="10"/>
  <c r="Q82" i="10"/>
  <c r="P82" i="10"/>
  <c r="O82" i="10"/>
  <c r="N82" i="10"/>
  <c r="M82" i="10"/>
  <c r="L82" i="10"/>
  <c r="K82" i="10"/>
  <c r="K85" i="10" s="1"/>
  <c r="J82" i="10"/>
  <c r="I82" i="10"/>
  <c r="H82" i="10"/>
  <c r="G82" i="10"/>
  <c r="F82" i="10"/>
  <c r="E82" i="10"/>
  <c r="D82" i="10"/>
  <c r="C82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AO80" i="10"/>
  <c r="AN80" i="10"/>
  <c r="AM80" i="10"/>
  <c r="AL80" i="10"/>
  <c r="AL85" i="10" s="1"/>
  <c r="AK80" i="10"/>
  <c r="AJ80" i="10"/>
  <c r="AI80" i="10"/>
  <c r="AH80" i="10"/>
  <c r="AH85" i="10" s="1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AO79" i="10"/>
  <c r="AO85" i="10" s="1"/>
  <c r="AN79" i="10"/>
  <c r="AN85" i="10" s="1"/>
  <c r="AM79" i="10"/>
  <c r="AM85" i="10" s="1"/>
  <c r="AL79" i="10"/>
  <c r="AK79" i="10"/>
  <c r="AK85" i="10" s="1"/>
  <c r="AJ79" i="10"/>
  <c r="AJ85" i="10" s="1"/>
  <c r="AI79" i="10"/>
  <c r="AH79" i="10"/>
  <c r="AG79" i="10"/>
  <c r="AG85" i="10" s="1"/>
  <c r="AF79" i="10"/>
  <c r="AF85" i="10" s="1"/>
  <c r="AE79" i="10"/>
  <c r="AE85" i="10" s="1"/>
  <c r="AE87" i="10" s="1"/>
  <c r="AD79" i="10"/>
  <c r="AC79" i="10"/>
  <c r="AB79" i="10"/>
  <c r="AB85" i="10" s="1"/>
  <c r="AA79" i="10"/>
  <c r="Z79" i="10"/>
  <c r="Y79" i="10"/>
  <c r="Y85" i="10" s="1"/>
  <c r="X79" i="10"/>
  <c r="X85" i="10" s="1"/>
  <c r="W79" i="10"/>
  <c r="W85" i="10" s="1"/>
  <c r="W87" i="10" s="1"/>
  <c r="V79" i="10"/>
  <c r="U79" i="10"/>
  <c r="U85" i="10" s="1"/>
  <c r="T79" i="10"/>
  <c r="T85" i="10" s="1"/>
  <c r="S79" i="10"/>
  <c r="R79" i="10"/>
  <c r="Q79" i="10"/>
  <c r="Q85" i="10" s="1"/>
  <c r="P79" i="10"/>
  <c r="O79" i="10"/>
  <c r="O85" i="10" s="1"/>
  <c r="O87" i="10" s="1"/>
  <c r="N79" i="10"/>
  <c r="M79" i="10"/>
  <c r="M85" i="10" s="1"/>
  <c r="L79" i="10"/>
  <c r="L85" i="10" s="1"/>
  <c r="K79" i="10"/>
  <c r="J79" i="10"/>
  <c r="I79" i="10"/>
  <c r="I85" i="10" s="1"/>
  <c r="H79" i="10"/>
  <c r="H85" i="10" s="1"/>
  <c r="G79" i="10"/>
  <c r="G85" i="10" s="1"/>
  <c r="G87" i="10" s="1"/>
  <c r="F79" i="10"/>
  <c r="E79" i="10"/>
  <c r="E85" i="10" s="1"/>
  <c r="D79" i="10"/>
  <c r="D85" i="10" s="1"/>
  <c r="C7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 s="1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 s="1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 s="1"/>
  <c r="AN57" i="10"/>
  <c r="AN58" i="10" s="1"/>
  <c r="AM57" i="10"/>
  <c r="AM58" i="10" s="1"/>
  <c r="AL57" i="10"/>
  <c r="AL58" i="10" s="1"/>
  <c r="AK57" i="10"/>
  <c r="AK58" i="10" s="1"/>
  <c r="AH57" i="10"/>
  <c r="AH58" i="10" s="1"/>
  <c r="AF57" i="10"/>
  <c r="AF58" i="10" s="1"/>
  <c r="AE57" i="10"/>
  <c r="AE58" i="10" s="1"/>
  <c r="AB57" i="10"/>
  <c r="AB58" i="10" s="1"/>
  <c r="X57" i="10"/>
  <c r="X58" i="10" s="1"/>
  <c r="T57" i="10"/>
  <c r="T58" i="10" s="1"/>
  <c r="Q57" i="10"/>
  <c r="Q58" i="10" s="1"/>
  <c r="N57" i="10"/>
  <c r="N58" i="10" s="1"/>
  <c r="M57" i="10"/>
  <c r="M58" i="10" s="1"/>
  <c r="K57" i="10"/>
  <c r="K58" i="10" s="1"/>
  <c r="J57" i="10"/>
  <c r="J58" i="10" s="1"/>
  <c r="I57" i="10"/>
  <c r="I58" i="10" s="1"/>
  <c r="F57" i="10"/>
  <c r="F58" i="10" s="1"/>
  <c r="E57" i="10"/>
  <c r="E58" i="10" s="1"/>
  <c r="AO56" i="10"/>
  <c r="AO121" i="10" s="1"/>
  <c r="AN56" i="10"/>
  <c r="AN121" i="10" s="1"/>
  <c r="AM56" i="10"/>
  <c r="AM121" i="10" s="1"/>
  <c r="AL56" i="10"/>
  <c r="AL121" i="10" s="1"/>
  <c r="AK56" i="10"/>
  <c r="AK121" i="10" s="1"/>
  <c r="AJ56" i="10"/>
  <c r="AJ121" i="10" s="1"/>
  <c r="AI56" i="10"/>
  <c r="AI121" i="10" s="1"/>
  <c r="AH56" i="10"/>
  <c r="AH121" i="10" s="1"/>
  <c r="AG56" i="10"/>
  <c r="AG121" i="10" s="1"/>
  <c r="AF56" i="10"/>
  <c r="AF121" i="10" s="1"/>
  <c r="AE56" i="10"/>
  <c r="AE121" i="10" s="1"/>
  <c r="AD56" i="10"/>
  <c r="AD121" i="10" s="1"/>
  <c r="AC56" i="10"/>
  <c r="AB56" i="10"/>
  <c r="AB121" i="10" s="1"/>
  <c r="AA56" i="10"/>
  <c r="AA121" i="10" s="1"/>
  <c r="Z56" i="10"/>
  <c r="Z121" i="10" s="1"/>
  <c r="Y56" i="10"/>
  <c r="Y121" i="10" s="1"/>
  <c r="X56" i="10"/>
  <c r="X121" i="10" s="1"/>
  <c r="W56" i="10"/>
  <c r="W121" i="10" s="1"/>
  <c r="V56" i="10"/>
  <c r="V121" i="10" s="1"/>
  <c r="U56" i="10"/>
  <c r="U121" i="10" s="1"/>
  <c r="T56" i="10"/>
  <c r="T121" i="10" s="1"/>
  <c r="S56" i="10"/>
  <c r="S121" i="10" s="1"/>
  <c r="R56" i="10"/>
  <c r="R121" i="10" s="1"/>
  <c r="Q56" i="10"/>
  <c r="Q121" i="10" s="1"/>
  <c r="P56" i="10"/>
  <c r="O56" i="10"/>
  <c r="O121" i="10" s="1"/>
  <c r="N56" i="10"/>
  <c r="N121" i="10" s="1"/>
  <c r="M56" i="10"/>
  <c r="M121" i="10" s="1"/>
  <c r="L56" i="10"/>
  <c r="L121" i="10" s="1"/>
  <c r="K56" i="10"/>
  <c r="K121" i="10" s="1"/>
  <c r="J56" i="10"/>
  <c r="J121" i="10" s="1"/>
  <c r="I56" i="10"/>
  <c r="I121" i="10" s="1"/>
  <c r="H56" i="10"/>
  <c r="H121" i="10" s="1"/>
  <c r="G56" i="10"/>
  <c r="G121" i="10" s="1"/>
  <c r="F56" i="10"/>
  <c r="F121" i="10" s="1"/>
  <c r="E56" i="10"/>
  <c r="E121" i="10" s="1"/>
  <c r="D56" i="10"/>
  <c r="D121" i="10" s="1"/>
  <c r="C56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E16" i="7" s="1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O45" i="10"/>
  <c r="AN45" i="10"/>
  <c r="AM45" i="10"/>
  <c r="AL45" i="10"/>
  <c r="AK45" i="10"/>
  <c r="AJ45" i="10"/>
  <c r="AI45" i="10"/>
  <c r="AI53" i="10" s="1"/>
  <c r="AH45" i="10"/>
  <c r="AG45" i="10"/>
  <c r="AF45" i="10"/>
  <c r="AE45" i="10"/>
  <c r="AD45" i="10"/>
  <c r="AC45" i="10"/>
  <c r="AB45" i="10"/>
  <c r="AA45" i="10"/>
  <c r="AA53" i="10" s="1"/>
  <c r="Z45" i="10"/>
  <c r="Y45" i="10"/>
  <c r="X45" i="10"/>
  <c r="W45" i="10"/>
  <c r="V45" i="10"/>
  <c r="U45" i="10"/>
  <c r="T45" i="10"/>
  <c r="S45" i="10"/>
  <c r="S53" i="10" s="1"/>
  <c r="R45" i="10"/>
  <c r="Q45" i="10"/>
  <c r="P45" i="10"/>
  <c r="O45" i="10"/>
  <c r="N45" i="10"/>
  <c r="M45" i="10"/>
  <c r="L45" i="10"/>
  <c r="K45" i="10"/>
  <c r="K53" i="10" s="1"/>
  <c r="J45" i="10"/>
  <c r="I45" i="10"/>
  <c r="H45" i="10"/>
  <c r="G45" i="10"/>
  <c r="F45" i="10"/>
  <c r="E45" i="10"/>
  <c r="D45" i="10"/>
  <c r="C45" i="10"/>
  <c r="C53" i="10" s="1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O43" i="10"/>
  <c r="AO53" i="10" s="1"/>
  <c r="AN43" i="10"/>
  <c r="AN53" i="10" s="1"/>
  <c r="AM43" i="10"/>
  <c r="AL43" i="10"/>
  <c r="AK43" i="10"/>
  <c r="AJ43" i="10"/>
  <c r="AI43" i="10"/>
  <c r="AH43" i="10"/>
  <c r="AH53" i="10" s="1"/>
  <c r="AG43" i="10"/>
  <c r="AG53" i="10" s="1"/>
  <c r="AF43" i="10"/>
  <c r="AF53" i="10" s="1"/>
  <c r="AE43" i="10"/>
  <c r="AD43" i="10"/>
  <c r="AC43" i="10"/>
  <c r="AB43" i="10"/>
  <c r="AA43" i="10"/>
  <c r="Z43" i="10"/>
  <c r="Z53" i="10" s="1"/>
  <c r="Y43" i="10"/>
  <c r="Y53" i="10" s="1"/>
  <c r="X43" i="10"/>
  <c r="X53" i="10" s="1"/>
  <c r="W43" i="10"/>
  <c r="V43" i="10"/>
  <c r="U43" i="10"/>
  <c r="T43" i="10"/>
  <c r="S43" i="10"/>
  <c r="R43" i="10"/>
  <c r="R53" i="10" s="1"/>
  <c r="Q43" i="10"/>
  <c r="Q53" i="10" s="1"/>
  <c r="P43" i="10"/>
  <c r="P53" i="10" s="1"/>
  <c r="O43" i="10"/>
  <c r="N43" i="10"/>
  <c r="M43" i="10"/>
  <c r="L43" i="10"/>
  <c r="K43" i="10"/>
  <c r="J43" i="10"/>
  <c r="J53" i="10" s="1"/>
  <c r="I43" i="10"/>
  <c r="I53" i="10" s="1"/>
  <c r="H43" i="10"/>
  <c r="H53" i="10" s="1"/>
  <c r="G43" i="10"/>
  <c r="F43" i="10"/>
  <c r="E43" i="10"/>
  <c r="D43" i="10"/>
  <c r="C43" i="10"/>
  <c r="AO42" i="10"/>
  <c r="AN42" i="10"/>
  <c r="AM42" i="10"/>
  <c r="AG42" i="10"/>
  <c r="AF42" i="10"/>
  <c r="AE42" i="10"/>
  <c r="AD42" i="10"/>
  <c r="Y42" i="10"/>
  <c r="X42" i="10"/>
  <c r="W42" i="10"/>
  <c r="Q42" i="10"/>
  <c r="O42" i="10"/>
  <c r="N42" i="10"/>
  <c r="I42" i="10"/>
  <c r="H42" i="10"/>
  <c r="F42" i="10"/>
  <c r="E42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G42" i="10" s="1"/>
  <c r="F41" i="10"/>
  <c r="E41" i="10"/>
  <c r="D41" i="10"/>
  <c r="C41" i="10"/>
  <c r="AO40" i="10"/>
  <c r="AN40" i="10"/>
  <c r="AM40" i="10"/>
  <c r="AL40" i="10"/>
  <c r="AL42" i="10" s="1"/>
  <c r="AK40" i="10"/>
  <c r="AK42" i="10" s="1"/>
  <c r="AJ40" i="10"/>
  <c r="AJ42" i="10" s="1"/>
  <c r="AI40" i="10"/>
  <c r="AI42" i="10" s="1"/>
  <c r="AH40" i="10"/>
  <c r="AH42" i="10" s="1"/>
  <c r="AG40" i="10"/>
  <c r="AF40" i="10"/>
  <c r="AE40" i="10"/>
  <c r="AD40" i="10"/>
  <c r="AC40" i="10"/>
  <c r="AB40" i="10"/>
  <c r="AB42" i="10" s="1"/>
  <c r="AA40" i="10"/>
  <c r="AA42" i="10" s="1"/>
  <c r="Z40" i="10"/>
  <c r="Z42" i="10" s="1"/>
  <c r="Y40" i="10"/>
  <c r="X40" i="10"/>
  <c r="W40" i="10"/>
  <c r="V40" i="10"/>
  <c r="V42" i="10" s="1"/>
  <c r="U40" i="10"/>
  <c r="U42" i="10" s="1"/>
  <c r="T40" i="10"/>
  <c r="T42" i="10" s="1"/>
  <c r="S40" i="10"/>
  <c r="S42" i="10" s="1"/>
  <c r="R40" i="10"/>
  <c r="R42" i="10" s="1"/>
  <c r="Q40" i="10"/>
  <c r="P40" i="10"/>
  <c r="O40" i="10"/>
  <c r="N40" i="10"/>
  <c r="M40" i="10"/>
  <c r="M42" i="10" s="1"/>
  <c r="L40" i="10"/>
  <c r="L42" i="10" s="1"/>
  <c r="K40" i="10"/>
  <c r="K42" i="10" s="1"/>
  <c r="J40" i="10"/>
  <c r="J42" i="10" s="1"/>
  <c r="I40" i="10"/>
  <c r="H40" i="10"/>
  <c r="G40" i="10"/>
  <c r="F40" i="10"/>
  <c r="E40" i="10"/>
  <c r="D40" i="10"/>
  <c r="D42" i="10" s="1"/>
  <c r="C40" i="10"/>
  <c r="C42" i="10" s="1"/>
  <c r="D37" i="10"/>
  <c r="C37" i="10" s="1"/>
  <c r="AM34" i="10"/>
  <c r="AI34" i="10"/>
  <c r="AG34" i="10"/>
  <c r="Y34" i="10"/>
  <c r="X34" i="10"/>
  <c r="W34" i="10"/>
  <c r="P34" i="10"/>
  <c r="O34" i="10"/>
  <c r="N34" i="10"/>
  <c r="F34" i="10"/>
  <c r="C34" i="10"/>
  <c r="B34" i="10"/>
  <c r="AF33" i="10"/>
  <c r="AE33" i="10"/>
  <c r="X33" i="10"/>
  <c r="W33" i="10"/>
  <c r="V33" i="10"/>
  <c r="B33" i="10"/>
  <c r="AM32" i="10"/>
  <c r="S32" i="10"/>
  <c r="G32" i="10"/>
  <c r="B32" i="10"/>
  <c r="AM31" i="10"/>
  <c r="AL31" i="10"/>
  <c r="AI31" i="10"/>
  <c r="AD31" i="10"/>
  <c r="AB31" i="10"/>
  <c r="AA31" i="10"/>
  <c r="Z31" i="10"/>
  <c r="U31" i="10"/>
  <c r="T31" i="10"/>
  <c r="S31" i="10"/>
  <c r="R31" i="10"/>
  <c r="M31" i="10"/>
  <c r="L31" i="10"/>
  <c r="K31" i="10"/>
  <c r="J31" i="10"/>
  <c r="E31" i="10"/>
  <c r="D31" i="10"/>
  <c r="C31" i="10"/>
  <c r="B31" i="10"/>
  <c r="AK30" i="10"/>
  <c r="AJ30" i="10"/>
  <c r="AI30" i="10"/>
  <c r="AH30" i="10"/>
  <c r="AC30" i="10"/>
  <c r="AB30" i="10"/>
  <c r="AB36" i="10" s="1"/>
  <c r="AA30" i="10"/>
  <c r="Z30" i="10"/>
  <c r="U30" i="10"/>
  <c r="T30" i="10"/>
  <c r="S30" i="10"/>
  <c r="R30" i="10"/>
  <c r="B30" i="10"/>
  <c r="AO23" i="10"/>
  <c r="AO34" i="10" s="1"/>
  <c r="AN23" i="10"/>
  <c r="AN34" i="10" s="1"/>
  <c r="AM23" i="10"/>
  <c r="AL23" i="10"/>
  <c r="AL34" i="10" s="1"/>
  <c r="AK23" i="10"/>
  <c r="AK34" i="10" s="1"/>
  <c r="AJ23" i="10"/>
  <c r="AJ34" i="10" s="1"/>
  <c r="AI23" i="10"/>
  <c r="AH23" i="10"/>
  <c r="AH34" i="10" s="1"/>
  <c r="AG23" i="10"/>
  <c r="AF23" i="10"/>
  <c r="AF34" i="10" s="1"/>
  <c r="AE23" i="10"/>
  <c r="AE34" i="10" s="1"/>
  <c r="AD23" i="10"/>
  <c r="AD34" i="10" s="1"/>
  <c r="AC23" i="10"/>
  <c r="AC34" i="10" s="1"/>
  <c r="AB23" i="10"/>
  <c r="AB34" i="10" s="1"/>
  <c r="AA23" i="10"/>
  <c r="AA34" i="10" s="1"/>
  <c r="Z23" i="10"/>
  <c r="Z34" i="10" s="1"/>
  <c r="Y23" i="10"/>
  <c r="X23" i="10"/>
  <c r="W23" i="10"/>
  <c r="V23" i="10"/>
  <c r="V34" i="10" s="1"/>
  <c r="U23" i="10"/>
  <c r="U34" i="10" s="1"/>
  <c r="T23" i="10"/>
  <c r="T34" i="10" s="1"/>
  <c r="S23" i="10"/>
  <c r="S34" i="10" s="1"/>
  <c r="R23" i="10"/>
  <c r="R34" i="10" s="1"/>
  <c r="Q23" i="10"/>
  <c r="Q34" i="10" s="1"/>
  <c r="P23" i="10"/>
  <c r="O23" i="10"/>
  <c r="N23" i="10"/>
  <c r="M23" i="10"/>
  <c r="M34" i="10" s="1"/>
  <c r="L23" i="10"/>
  <c r="L34" i="10" s="1"/>
  <c r="K23" i="10"/>
  <c r="K34" i="10" s="1"/>
  <c r="J23" i="10"/>
  <c r="J34" i="10" s="1"/>
  <c r="I23" i="10"/>
  <c r="I34" i="10" s="1"/>
  <c r="H23" i="10"/>
  <c r="H34" i="10" s="1"/>
  <c r="G23" i="10"/>
  <c r="G34" i="10" s="1"/>
  <c r="F23" i="10"/>
  <c r="E23" i="10"/>
  <c r="E34" i="10" s="1"/>
  <c r="D23" i="10"/>
  <c r="D34" i="10" s="1"/>
  <c r="C23" i="10"/>
  <c r="AO19" i="10"/>
  <c r="AO33" i="10" s="1"/>
  <c r="AN19" i="10"/>
  <c r="AN33" i="10" s="1"/>
  <c r="AM19" i="10"/>
  <c r="AM33" i="10" s="1"/>
  <c r="AL19" i="10"/>
  <c r="AL33" i="10" s="1"/>
  <c r="AK19" i="10"/>
  <c r="AK33" i="10" s="1"/>
  <c r="AJ19" i="10"/>
  <c r="AJ33" i="10" s="1"/>
  <c r="AI19" i="10"/>
  <c r="AI33" i="10" s="1"/>
  <c r="AH19" i="10"/>
  <c r="AH33" i="10" s="1"/>
  <c r="AG19" i="10"/>
  <c r="AG33" i="10" s="1"/>
  <c r="AF19" i="10"/>
  <c r="AE19" i="10"/>
  <c r="AD19" i="10"/>
  <c r="AD33" i="10" s="1"/>
  <c r="AC19" i="10"/>
  <c r="AC33" i="10" s="1"/>
  <c r="AB19" i="10"/>
  <c r="AB33" i="10" s="1"/>
  <c r="AA19" i="10"/>
  <c r="AA33" i="10" s="1"/>
  <c r="Z19" i="10"/>
  <c r="Z33" i="10" s="1"/>
  <c r="Y19" i="10"/>
  <c r="Y33" i="10" s="1"/>
  <c r="X19" i="10"/>
  <c r="W19" i="10"/>
  <c r="V19" i="10"/>
  <c r="U19" i="10"/>
  <c r="U33" i="10" s="1"/>
  <c r="T19" i="10"/>
  <c r="T33" i="10" s="1"/>
  <c r="S19" i="10"/>
  <c r="S33" i="10" s="1"/>
  <c r="R19" i="10"/>
  <c r="R33" i="10" s="1"/>
  <c r="Q19" i="10"/>
  <c r="Q33" i="10" s="1"/>
  <c r="P19" i="10"/>
  <c r="P33" i="10" s="1"/>
  <c r="AO15" i="10"/>
  <c r="AO32" i="10" s="1"/>
  <c r="AN15" i="10"/>
  <c r="AN32" i="10" s="1"/>
  <c r="AM15" i="10"/>
  <c r="AL15" i="10"/>
  <c r="AL32" i="10" s="1"/>
  <c r="AK15" i="10"/>
  <c r="AK32" i="10" s="1"/>
  <c r="AJ15" i="10"/>
  <c r="AJ32" i="10" s="1"/>
  <c r="AI15" i="10"/>
  <c r="AI32" i="10" s="1"/>
  <c r="AH15" i="10"/>
  <c r="AH32" i="10" s="1"/>
  <c r="AG15" i="10"/>
  <c r="AG32" i="10" s="1"/>
  <c r="AF15" i="10"/>
  <c r="AF32" i="10" s="1"/>
  <c r="AE15" i="10"/>
  <c r="AE32" i="10" s="1"/>
  <c r="AD15" i="10"/>
  <c r="AD32" i="10" s="1"/>
  <c r="AC15" i="10"/>
  <c r="AC32" i="10" s="1"/>
  <c r="AB15" i="10"/>
  <c r="AB32" i="10" s="1"/>
  <c r="AA15" i="10"/>
  <c r="AA32" i="10" s="1"/>
  <c r="Z15" i="10"/>
  <c r="Z32" i="10" s="1"/>
  <c r="Y15" i="10"/>
  <c r="Y32" i="10" s="1"/>
  <c r="X15" i="10"/>
  <c r="X32" i="10" s="1"/>
  <c r="W15" i="10"/>
  <c r="W32" i="10" s="1"/>
  <c r="V15" i="10"/>
  <c r="V32" i="10" s="1"/>
  <c r="U15" i="10"/>
  <c r="U32" i="10" s="1"/>
  <c r="T15" i="10"/>
  <c r="T32" i="10" s="1"/>
  <c r="S15" i="10"/>
  <c r="R15" i="10"/>
  <c r="R32" i="10" s="1"/>
  <c r="Q15" i="10"/>
  <c r="Q32" i="10" s="1"/>
  <c r="P15" i="10"/>
  <c r="P32" i="10" s="1"/>
  <c r="O15" i="10"/>
  <c r="O32" i="10" s="1"/>
  <c r="N15" i="10"/>
  <c r="N32" i="10" s="1"/>
  <c r="M15" i="10"/>
  <c r="M32" i="10" s="1"/>
  <c r="L15" i="10"/>
  <c r="L32" i="10" s="1"/>
  <c r="K15" i="10"/>
  <c r="K32" i="10" s="1"/>
  <c r="J15" i="10"/>
  <c r="J32" i="10" s="1"/>
  <c r="I15" i="10"/>
  <c r="I32" i="10" s="1"/>
  <c r="H15" i="10"/>
  <c r="H32" i="10" s="1"/>
  <c r="G15" i="10"/>
  <c r="F15" i="10"/>
  <c r="F32" i="10" s="1"/>
  <c r="E15" i="10"/>
  <c r="E32" i="10" s="1"/>
  <c r="D15" i="10"/>
  <c r="D32" i="10" s="1"/>
  <c r="C15" i="10"/>
  <c r="C32" i="10" s="1"/>
  <c r="AO11" i="10"/>
  <c r="AO31" i="10" s="1"/>
  <c r="AN11" i="10"/>
  <c r="AN31" i="10" s="1"/>
  <c r="AM11" i="10"/>
  <c r="AL11" i="10"/>
  <c r="AK11" i="10"/>
  <c r="AK31" i="10" s="1"/>
  <c r="AJ11" i="10"/>
  <c r="AJ31" i="10" s="1"/>
  <c r="AI11" i="10"/>
  <c r="AH11" i="10"/>
  <c r="AH31" i="10" s="1"/>
  <c r="AG11" i="10"/>
  <c r="AG31" i="10" s="1"/>
  <c r="AF11" i="10"/>
  <c r="AF31" i="10" s="1"/>
  <c r="AE11" i="10"/>
  <c r="AE31" i="10" s="1"/>
  <c r="AD11" i="10"/>
  <c r="AC11" i="10"/>
  <c r="AC31" i="10" s="1"/>
  <c r="AB11" i="10"/>
  <c r="AA11" i="10"/>
  <c r="Z11" i="10"/>
  <c r="Y11" i="10"/>
  <c r="Y31" i="10" s="1"/>
  <c r="X11" i="10"/>
  <c r="X31" i="10" s="1"/>
  <c r="W11" i="10"/>
  <c r="W31" i="10" s="1"/>
  <c r="V11" i="10"/>
  <c r="V31" i="10" s="1"/>
  <c r="U11" i="10"/>
  <c r="T11" i="10"/>
  <c r="S11" i="10"/>
  <c r="R11" i="10"/>
  <c r="Q11" i="10"/>
  <c r="Q31" i="10" s="1"/>
  <c r="P11" i="10"/>
  <c r="P31" i="10" s="1"/>
  <c r="O11" i="10"/>
  <c r="O31" i="10" s="1"/>
  <c r="N11" i="10"/>
  <c r="N31" i="10" s="1"/>
  <c r="M11" i="10"/>
  <c r="L11" i="10"/>
  <c r="K11" i="10"/>
  <c r="J11" i="10"/>
  <c r="I11" i="10"/>
  <c r="I31" i="10" s="1"/>
  <c r="H11" i="10"/>
  <c r="H31" i="10" s="1"/>
  <c r="G11" i="10"/>
  <c r="G31" i="10" s="1"/>
  <c r="F11" i="10"/>
  <c r="F31" i="10" s="1"/>
  <c r="E11" i="10"/>
  <c r="D11" i="10"/>
  <c r="C11" i="10"/>
  <c r="AO7" i="10"/>
  <c r="AO30" i="10" s="1"/>
  <c r="AN7" i="10"/>
  <c r="AN30" i="10" s="1"/>
  <c r="AM7" i="10"/>
  <c r="AM30" i="10" s="1"/>
  <c r="AL7" i="10"/>
  <c r="AL30" i="10" s="1"/>
  <c r="AL36" i="10" s="1"/>
  <c r="AK7" i="10"/>
  <c r="AJ7" i="10"/>
  <c r="AI7" i="10"/>
  <c r="AH7" i="10"/>
  <c r="AG7" i="10"/>
  <c r="AG30" i="10" s="1"/>
  <c r="AF7" i="10"/>
  <c r="AF30" i="10" s="1"/>
  <c r="AE7" i="10"/>
  <c r="AE30" i="10" s="1"/>
  <c r="AD7" i="10"/>
  <c r="AD30" i="10" s="1"/>
  <c r="AC7" i="10"/>
  <c r="AB7" i="10"/>
  <c r="AA7" i="10"/>
  <c r="Z7" i="10"/>
  <c r="Y7" i="10"/>
  <c r="Y30" i="10" s="1"/>
  <c r="X7" i="10"/>
  <c r="X30" i="10" s="1"/>
  <c r="W7" i="10"/>
  <c r="W30" i="10" s="1"/>
  <c r="V7" i="10"/>
  <c r="V30" i="10" s="1"/>
  <c r="U7" i="10"/>
  <c r="T7" i="10"/>
  <c r="S7" i="10"/>
  <c r="R7" i="10"/>
  <c r="Q7" i="10"/>
  <c r="Q30" i="10" s="1"/>
  <c r="P7" i="10"/>
  <c r="P30" i="10" s="1"/>
  <c r="AO1" i="10"/>
  <c r="AN1" i="10"/>
  <c r="AM1" i="10"/>
  <c r="AL1" i="10"/>
  <c r="AK1" i="10"/>
  <c r="AJ1" i="10"/>
  <c r="AI1" i="10"/>
  <c r="AH1" i="10"/>
  <c r="AG1" i="10"/>
  <c r="AF1" i="10"/>
  <c r="AE1" i="10"/>
  <c r="AD1" i="10"/>
  <c r="AB1" i="10"/>
  <c r="AA1" i="10"/>
  <c r="Z1" i="10"/>
  <c r="Y1" i="10"/>
  <c r="X1" i="10"/>
  <c r="W1" i="10"/>
  <c r="V1" i="10"/>
  <c r="U1" i="10"/>
  <c r="T1" i="10"/>
  <c r="S1" i="10"/>
  <c r="R1" i="10"/>
  <c r="Q1" i="10"/>
  <c r="O1" i="10"/>
  <c r="N1" i="10"/>
  <c r="M1" i="10"/>
  <c r="L1" i="10"/>
  <c r="K1" i="10"/>
  <c r="J1" i="10"/>
  <c r="I1" i="10"/>
  <c r="H1" i="10"/>
  <c r="G1" i="10"/>
  <c r="F1" i="10"/>
  <c r="E1" i="10"/>
  <c r="D1" i="10"/>
  <c r="D22" i="8"/>
  <c r="AN21" i="8"/>
  <c r="AM21" i="8"/>
  <c r="AK21" i="8"/>
  <c r="AJ21" i="8"/>
  <c r="AG21" i="8"/>
  <c r="AE21" i="8"/>
  <c r="AD21" i="8"/>
  <c r="AA21" i="8"/>
  <c r="Z21" i="8"/>
  <c r="X21" i="8"/>
  <c r="W21" i="8"/>
  <c r="T21" i="8"/>
  <c r="S21" i="8"/>
  <c r="R21" i="8"/>
  <c r="Q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D19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B17" i="8"/>
  <c r="AA17" i="8"/>
  <c r="Z17" i="8"/>
  <c r="Y17" i="8"/>
  <c r="X17" i="8"/>
  <c r="W17" i="8"/>
  <c r="V17" i="8"/>
  <c r="U17" i="8"/>
  <c r="T17" i="8"/>
  <c r="S17" i="8"/>
  <c r="R17" i="8"/>
  <c r="Q17" i="8"/>
  <c r="O17" i="8"/>
  <c r="N17" i="8"/>
  <c r="M17" i="8"/>
  <c r="L17" i="8"/>
  <c r="K17" i="8"/>
  <c r="J17" i="8"/>
  <c r="I17" i="8"/>
  <c r="H17" i="8"/>
  <c r="G17" i="8"/>
  <c r="F17" i="8"/>
  <c r="E17" i="8"/>
  <c r="D17" i="8"/>
  <c r="D15" i="8"/>
  <c r="AO14" i="8"/>
  <c r="AM14" i="8"/>
  <c r="X14" i="8"/>
  <c r="V14" i="8"/>
  <c r="G14" i="8"/>
  <c r="E14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D9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D7" i="8"/>
  <c r="D5" i="8"/>
  <c r="F29" i="7"/>
  <c r="E29" i="7"/>
  <c r="D29" i="7"/>
  <c r="C22" i="7"/>
  <c r="C26" i="7" s="1"/>
  <c r="C31" i="7" s="1"/>
  <c r="C18" i="7"/>
  <c r="F17" i="7"/>
  <c r="E17" i="7"/>
  <c r="D17" i="7"/>
  <c r="F16" i="7"/>
  <c r="D16" i="7"/>
  <c r="F14" i="7"/>
  <c r="E14" i="7"/>
  <c r="D14" i="7"/>
  <c r="E12" i="7"/>
  <c r="D12" i="7"/>
  <c r="D11" i="7"/>
  <c r="F4" i="7"/>
  <c r="E4" i="7"/>
  <c r="D4" i="7"/>
  <c r="C4" i="7"/>
  <c r="C3" i="7"/>
  <c r="C21" i="6"/>
  <c r="E16" i="6"/>
  <c r="F16" i="6" s="1"/>
  <c r="D16" i="6"/>
  <c r="F15" i="6"/>
  <c r="D15" i="6"/>
  <c r="F14" i="6"/>
  <c r="E14" i="6"/>
  <c r="F4" i="6"/>
  <c r="E4" i="6"/>
  <c r="D4" i="6"/>
  <c r="C4" i="6"/>
  <c r="C3" i="6"/>
  <c r="C43" i="5"/>
  <c r="C38" i="5"/>
  <c r="D35" i="5"/>
  <c r="F34" i="5"/>
  <c r="E34" i="5"/>
  <c r="D28" i="5"/>
  <c r="E28" i="5" s="1"/>
  <c r="C24" i="5"/>
  <c r="D23" i="5"/>
  <c r="E23" i="5" s="1"/>
  <c r="D21" i="5"/>
  <c r="C17" i="5"/>
  <c r="D16" i="5"/>
  <c r="E16" i="5" s="1"/>
  <c r="C10" i="5"/>
  <c r="D9" i="5"/>
  <c r="D7" i="5"/>
  <c r="E7" i="5" s="1"/>
  <c r="D6" i="5"/>
  <c r="D3" i="5"/>
  <c r="D3" i="6" s="1"/>
  <c r="E13" i="4"/>
  <c r="D13" i="4"/>
  <c r="D30" i="3" s="1"/>
  <c r="C13" i="4"/>
  <c r="C30" i="3" s="1"/>
  <c r="E36" i="3"/>
  <c r="D36" i="3"/>
  <c r="C36" i="3"/>
  <c r="C32" i="3"/>
  <c r="E30" i="3"/>
  <c r="E62" i="2"/>
  <c r="E15" i="3" s="1"/>
  <c r="D62" i="2"/>
  <c r="D15" i="3" s="1"/>
  <c r="C62" i="2"/>
  <c r="C15" i="3" s="1"/>
  <c r="E54" i="2"/>
  <c r="C54" i="2"/>
  <c r="E53" i="2"/>
  <c r="D53" i="2"/>
  <c r="C53" i="2"/>
  <c r="D54" i="2" s="1"/>
  <c r="E46" i="2"/>
  <c r="D46" i="2"/>
  <c r="C46" i="2"/>
  <c r="E37" i="2"/>
  <c r="E38" i="2" s="1"/>
  <c r="D37" i="2"/>
  <c r="D16" i="3" s="1"/>
  <c r="D17" i="3" s="1"/>
  <c r="C37" i="2"/>
  <c r="C16" i="3" s="1"/>
  <c r="E31" i="2"/>
  <c r="D31" i="2"/>
  <c r="C31" i="2"/>
  <c r="E18" i="2"/>
  <c r="D18" i="2"/>
  <c r="C18" i="2"/>
  <c r="C7" i="4" s="1"/>
  <c r="E13" i="2"/>
  <c r="E6" i="3" s="1"/>
  <c r="D13" i="2"/>
  <c r="D6" i="3" s="1"/>
  <c r="D33" i="3" s="1"/>
  <c r="C13" i="2"/>
  <c r="C6" i="3" s="1"/>
  <c r="C11" i="2"/>
  <c r="C8" i="2"/>
  <c r="G7" i="10" s="1"/>
  <c r="G30" i="10" s="1"/>
  <c r="C18" i="5" l="1"/>
  <c r="C41" i="5" s="1"/>
  <c r="E35" i="5"/>
  <c r="C39" i="5"/>
  <c r="E9" i="5"/>
  <c r="D36" i="5"/>
  <c r="AD36" i="10"/>
  <c r="Z36" i="10"/>
  <c r="D31" i="3"/>
  <c r="D7" i="4"/>
  <c r="E7" i="4"/>
  <c r="F17" i="11"/>
  <c r="D57" i="10" s="1"/>
  <c r="D58" i="10" s="1"/>
  <c r="J17" i="11"/>
  <c r="H57" i="10" s="1"/>
  <c r="H58" i="10" s="1"/>
  <c r="N17" i="11"/>
  <c r="L57" i="10" s="1"/>
  <c r="L58" i="10" s="1"/>
  <c r="D38" i="2"/>
  <c r="D18" i="3"/>
  <c r="D19" i="3" s="1"/>
  <c r="C39" i="3"/>
  <c r="C17" i="3"/>
  <c r="C18" i="3" s="1"/>
  <c r="C19" i="3" s="1"/>
  <c r="D32" i="3"/>
  <c r="C38" i="3"/>
  <c r="C33" i="3"/>
  <c r="C37" i="3"/>
  <c r="E37" i="3"/>
  <c r="E33" i="3"/>
  <c r="E38" i="3"/>
  <c r="E39" i="3"/>
  <c r="E3" i="5"/>
  <c r="D3" i="7"/>
  <c r="C38" i="2"/>
  <c r="E16" i="3"/>
  <c r="E17" i="3" s="1"/>
  <c r="E18" i="3" s="1"/>
  <c r="E19" i="3" s="1"/>
  <c r="E6" i="5"/>
  <c r="F7" i="5"/>
  <c r="L19" i="10"/>
  <c r="L33" i="10" s="1"/>
  <c r="D19" i="10"/>
  <c r="D33" i="10" s="1"/>
  <c r="J19" i="10"/>
  <c r="J33" i="10" s="1"/>
  <c r="H19" i="10"/>
  <c r="H33" i="10" s="1"/>
  <c r="O19" i="10"/>
  <c r="O33" i="10" s="1"/>
  <c r="G19" i="10"/>
  <c r="G33" i="10" s="1"/>
  <c r="G36" i="10" s="1"/>
  <c r="N19" i="10"/>
  <c r="N33" i="10" s="1"/>
  <c r="F19" i="10"/>
  <c r="F33" i="10" s="1"/>
  <c r="M19" i="10"/>
  <c r="M33" i="10" s="1"/>
  <c r="E19" i="10"/>
  <c r="E33" i="10" s="1"/>
  <c r="K19" i="10"/>
  <c r="K33" i="10" s="1"/>
  <c r="I19" i="10"/>
  <c r="I33" i="10" s="1"/>
  <c r="C19" i="10"/>
  <c r="C33" i="10" s="1"/>
  <c r="F23" i="5"/>
  <c r="F16" i="5"/>
  <c r="AA113" i="10"/>
  <c r="Z39" i="10"/>
  <c r="D37" i="3"/>
  <c r="E32" i="3"/>
  <c r="D39" i="3"/>
  <c r="D38" i="3"/>
  <c r="C31" i="3"/>
  <c r="F28" i="5"/>
  <c r="E31" i="3"/>
  <c r="F7" i="10"/>
  <c r="F30" i="10" s="1"/>
  <c r="F36" i="10" s="1"/>
  <c r="AC42" i="10"/>
  <c r="AA36" i="10"/>
  <c r="U137" i="10"/>
  <c r="I7" i="10"/>
  <c r="I30" i="10" s="1"/>
  <c r="I36" i="10" s="1"/>
  <c r="M7" i="10"/>
  <c r="M30" i="10" s="1"/>
  <c r="M36" i="10" s="1"/>
  <c r="E7" i="10"/>
  <c r="E30" i="10" s="1"/>
  <c r="E36" i="10" s="1"/>
  <c r="L7" i="10"/>
  <c r="L30" i="10" s="1"/>
  <c r="D7" i="10"/>
  <c r="D30" i="10" s="1"/>
  <c r="K7" i="10"/>
  <c r="K30" i="10" s="1"/>
  <c r="C7" i="10"/>
  <c r="C30" i="10" s="1"/>
  <c r="C36" i="10" s="1"/>
  <c r="J7" i="10"/>
  <c r="J30" i="10" s="1"/>
  <c r="J36" i="10" s="1"/>
  <c r="H7" i="10"/>
  <c r="H30" i="10" s="1"/>
  <c r="H36" i="10" s="1"/>
  <c r="AD113" i="10"/>
  <c r="AB39" i="10"/>
  <c r="V137" i="10"/>
  <c r="W120" i="10"/>
  <c r="W16" i="8" s="1"/>
  <c r="AM120" i="10"/>
  <c r="AM16" i="8" s="1"/>
  <c r="N7" i="10"/>
  <c r="N30" i="10" s="1"/>
  <c r="N36" i="10" s="1"/>
  <c r="V36" i="10"/>
  <c r="AE113" i="10"/>
  <c r="AD39" i="10"/>
  <c r="AM113" i="10"/>
  <c r="AL39" i="10"/>
  <c r="P42" i="10"/>
  <c r="O7" i="10"/>
  <c r="O30" i="10" s="1"/>
  <c r="O36" i="10" s="1"/>
  <c r="W36" i="10"/>
  <c r="AE36" i="10"/>
  <c r="AM36" i="10"/>
  <c r="R36" i="10"/>
  <c r="AH36" i="10"/>
  <c r="P36" i="10"/>
  <c r="X36" i="10"/>
  <c r="AF36" i="10"/>
  <c r="AN36" i="10"/>
  <c r="S36" i="10"/>
  <c r="AI36" i="10"/>
  <c r="Q36" i="10"/>
  <c r="Y36" i="10"/>
  <c r="AG36" i="10"/>
  <c r="AO36" i="10"/>
  <c r="T36" i="10"/>
  <c r="AJ36" i="10"/>
  <c r="AL136" i="10"/>
  <c r="AM119" i="10"/>
  <c r="AL87" i="10"/>
  <c r="K137" i="10"/>
  <c r="L120" i="10"/>
  <c r="L16" i="8" s="1"/>
  <c r="S137" i="10"/>
  <c r="T120" i="10"/>
  <c r="T16" i="8" s="1"/>
  <c r="AA137" i="10"/>
  <c r="AB120" i="10"/>
  <c r="AB16" i="8" s="1"/>
  <c r="AI137" i="10"/>
  <c r="AJ120" i="10"/>
  <c r="AJ16" i="8" s="1"/>
  <c r="AF137" i="10"/>
  <c r="AG120" i="10"/>
  <c r="AG16" i="8" s="1"/>
  <c r="D53" i="10"/>
  <c r="E120" i="10" s="1"/>
  <c r="L53" i="10"/>
  <c r="T53" i="10"/>
  <c r="U120" i="10" s="1"/>
  <c r="U16" i="8" s="1"/>
  <c r="AB53" i="10"/>
  <c r="AB137" i="10" s="1"/>
  <c r="AJ53" i="10"/>
  <c r="G88" i="10"/>
  <c r="G59" i="10"/>
  <c r="O88" i="10"/>
  <c r="O59" i="10"/>
  <c r="W88" i="10"/>
  <c r="W59" i="10"/>
  <c r="AE88" i="10"/>
  <c r="AE59" i="10"/>
  <c r="L137" i="10"/>
  <c r="M120" i="10"/>
  <c r="M16" i="8" s="1"/>
  <c r="T137" i="10"/>
  <c r="AJ137" i="10"/>
  <c r="AK120" i="10"/>
  <c r="AK16" i="8" s="1"/>
  <c r="H137" i="10"/>
  <c r="I120" i="10"/>
  <c r="I16" i="8" s="1"/>
  <c r="E53" i="10"/>
  <c r="E137" i="10" s="1"/>
  <c r="M53" i="10"/>
  <c r="U53" i="10"/>
  <c r="V120" i="10" s="1"/>
  <c r="V16" i="8" s="1"/>
  <c r="AC53" i="10"/>
  <c r="F12" i="7" s="1"/>
  <c r="AK53" i="10"/>
  <c r="AK137" i="10" s="1"/>
  <c r="AC58" i="10"/>
  <c r="W60" i="10"/>
  <c r="F53" i="10"/>
  <c r="G120" i="10" s="1"/>
  <c r="G16" i="8" s="1"/>
  <c r="N53" i="10"/>
  <c r="O120" i="10" s="1"/>
  <c r="O16" i="8" s="1"/>
  <c r="V53" i="10"/>
  <c r="AD53" i="10"/>
  <c r="AD137" i="10" s="1"/>
  <c r="AL53" i="10"/>
  <c r="AL137" i="10" s="1"/>
  <c r="X137" i="10"/>
  <c r="Y120" i="10"/>
  <c r="Y16" i="8" s="1"/>
  <c r="G53" i="10"/>
  <c r="H120" i="10" s="1"/>
  <c r="H16" i="8" s="1"/>
  <c r="O53" i="10"/>
  <c r="Q120" i="10" s="1"/>
  <c r="W53" i="10"/>
  <c r="W137" i="10" s="1"/>
  <c r="AE53" i="10"/>
  <c r="AE137" i="10" s="1"/>
  <c r="AM53" i="10"/>
  <c r="AN120" i="10"/>
  <c r="AN16" i="8" s="1"/>
  <c r="AM137" i="10"/>
  <c r="AN137" i="10"/>
  <c r="AO120" i="10"/>
  <c r="AO16" i="8" s="1"/>
  <c r="P58" i="10"/>
  <c r="U36" i="10"/>
  <c r="AC36" i="10"/>
  <c r="AK36" i="10"/>
  <c r="J137" i="10"/>
  <c r="K120" i="10"/>
  <c r="K16" i="8" s="1"/>
  <c r="R137" i="10"/>
  <c r="S120" i="10"/>
  <c r="S16" i="8" s="1"/>
  <c r="Z137" i="10"/>
  <c r="AA120" i="10"/>
  <c r="AA16" i="8" s="1"/>
  <c r="AH137" i="10"/>
  <c r="AI120" i="10"/>
  <c r="AI16" i="8" s="1"/>
  <c r="F137" i="10"/>
  <c r="I137" i="10"/>
  <c r="J120" i="10"/>
  <c r="J16" i="8" s="1"/>
  <c r="Q137" i="10"/>
  <c r="R120" i="10"/>
  <c r="R16" i="8" s="1"/>
  <c r="Y137" i="10"/>
  <c r="Z120" i="10"/>
  <c r="Z16" i="8" s="1"/>
  <c r="AG137" i="10"/>
  <c r="AH120" i="10"/>
  <c r="AH16" i="8" s="1"/>
  <c r="AO137" i="10"/>
  <c r="AC121" i="10"/>
  <c r="AC17" i="8" s="1"/>
  <c r="X123" i="10"/>
  <c r="X19" i="8" s="1"/>
  <c r="W122" i="10"/>
  <c r="W18" i="8" s="1"/>
  <c r="AF123" i="10"/>
  <c r="AF19" i="8" s="1"/>
  <c r="AE122" i="10"/>
  <c r="AE18" i="8" s="1"/>
  <c r="AN123" i="10"/>
  <c r="AN19" i="8" s="1"/>
  <c r="AM122" i="10"/>
  <c r="AM18" i="8" s="1"/>
  <c r="J85" i="10"/>
  <c r="R85" i="10"/>
  <c r="Z85" i="10"/>
  <c r="H122" i="10"/>
  <c r="H18" i="8" s="1"/>
  <c r="I123" i="10"/>
  <c r="I19" i="8" s="1"/>
  <c r="P57" i="10"/>
  <c r="X122" i="10"/>
  <c r="X18" i="8" s="1"/>
  <c r="Y123" i="10"/>
  <c r="Y19" i="8" s="1"/>
  <c r="AF122" i="10"/>
  <c r="AF18" i="8" s="1"/>
  <c r="AG123" i="10"/>
  <c r="AG19" i="8" s="1"/>
  <c r="AN122" i="10"/>
  <c r="AN18" i="8" s="1"/>
  <c r="AO123" i="10"/>
  <c r="AO19" i="8" s="1"/>
  <c r="I122" i="10"/>
  <c r="I18" i="8" s="1"/>
  <c r="J123" i="10"/>
  <c r="J19" i="8" s="1"/>
  <c r="Q122" i="10"/>
  <c r="R123" i="10"/>
  <c r="R19" i="8" s="1"/>
  <c r="Y122" i="10"/>
  <c r="Y18" i="8" s="1"/>
  <c r="Z123" i="10"/>
  <c r="Z19" i="8" s="1"/>
  <c r="AG122" i="10"/>
  <c r="AG18" i="8" s="1"/>
  <c r="AH123" i="10"/>
  <c r="AH19" i="8" s="1"/>
  <c r="AO122" i="10"/>
  <c r="AO18" i="8" s="1"/>
  <c r="D136" i="10"/>
  <c r="D87" i="10"/>
  <c r="E119" i="10"/>
  <c r="L136" i="10"/>
  <c r="L87" i="10"/>
  <c r="M119" i="10"/>
  <c r="M15" i="8" s="1"/>
  <c r="T136" i="10"/>
  <c r="T87" i="10"/>
  <c r="U119" i="10"/>
  <c r="U15" i="8" s="1"/>
  <c r="AB136" i="10"/>
  <c r="AB87" i="10"/>
  <c r="AD119" i="10"/>
  <c r="AJ136" i="10"/>
  <c r="AJ87" i="10"/>
  <c r="AK119" i="10"/>
  <c r="AK15" i="8" s="1"/>
  <c r="E185" i="10"/>
  <c r="E184" i="10" s="1"/>
  <c r="E186" i="10" s="1"/>
  <c r="F182" i="10" s="1"/>
  <c r="P121" i="10"/>
  <c r="P17" i="8" s="1"/>
  <c r="J122" i="10"/>
  <c r="J18" i="8" s="1"/>
  <c r="K123" i="10"/>
  <c r="K19" i="8" s="1"/>
  <c r="R122" i="10"/>
  <c r="R18" i="8" s="1"/>
  <c r="S123" i="10"/>
  <c r="S19" i="8" s="1"/>
  <c r="Z122" i="10"/>
  <c r="Z18" i="8" s="1"/>
  <c r="AA123" i="10"/>
  <c r="AA19" i="8" s="1"/>
  <c r="AH122" i="10"/>
  <c r="AH18" i="8" s="1"/>
  <c r="AI123" i="10"/>
  <c r="AI19" i="8" s="1"/>
  <c r="E87" i="10"/>
  <c r="E136" i="10"/>
  <c r="F119" i="10"/>
  <c r="F15" i="8" s="1"/>
  <c r="M87" i="10"/>
  <c r="N119" i="10"/>
  <c r="N15" i="8" s="1"/>
  <c r="M136" i="10"/>
  <c r="U87" i="10"/>
  <c r="U136" i="10"/>
  <c r="V119" i="10"/>
  <c r="AK87" i="10"/>
  <c r="AK136" i="10"/>
  <c r="AL119" i="10"/>
  <c r="AL15" i="8" s="1"/>
  <c r="C85" i="10"/>
  <c r="D7" i="6" s="1"/>
  <c r="K122" i="10"/>
  <c r="K18" i="8" s="1"/>
  <c r="L123" i="10"/>
  <c r="L19" i="8" s="1"/>
  <c r="S122" i="10"/>
  <c r="S18" i="8" s="1"/>
  <c r="T123" i="10"/>
  <c r="T19" i="8" s="1"/>
  <c r="AA122" i="10"/>
  <c r="AA18" i="8" s="1"/>
  <c r="AB123" i="10"/>
  <c r="AB19" i="8" s="1"/>
  <c r="AI122" i="10"/>
  <c r="AI18" i="8" s="1"/>
  <c r="AJ123" i="10"/>
  <c r="AJ19" i="8" s="1"/>
  <c r="F136" i="10"/>
  <c r="G119" i="10"/>
  <c r="F87" i="10"/>
  <c r="D122" i="10"/>
  <c r="M123" i="10"/>
  <c r="M19" i="8" s="1"/>
  <c r="T122" i="10"/>
  <c r="T18" i="8" s="1"/>
  <c r="U123" i="10"/>
  <c r="U19" i="8" s="1"/>
  <c r="AD123" i="10"/>
  <c r="AB122" i="10"/>
  <c r="AB18" i="8" s="1"/>
  <c r="AJ122" i="10"/>
  <c r="AJ18" i="8" s="1"/>
  <c r="AK123" i="10"/>
  <c r="AK19" i="8" s="1"/>
  <c r="G136" i="10"/>
  <c r="H119" i="10"/>
  <c r="H15" i="8" s="1"/>
  <c r="O136" i="10"/>
  <c r="Q119" i="10"/>
  <c r="W136" i="10"/>
  <c r="X119" i="10"/>
  <c r="X15" i="8" s="1"/>
  <c r="AE136" i="10"/>
  <c r="AF119" i="10"/>
  <c r="AF15" i="8" s="1"/>
  <c r="AM136" i="10"/>
  <c r="AN119" i="10"/>
  <c r="AN15" i="8" s="1"/>
  <c r="O119" i="10"/>
  <c r="O15" i="8" s="1"/>
  <c r="N136" i="10"/>
  <c r="N87" i="10"/>
  <c r="AM87" i="10"/>
  <c r="C121" i="10"/>
  <c r="C17" i="8" s="1"/>
  <c r="E122" i="10"/>
  <c r="E18" i="8" s="1"/>
  <c r="F123" i="10"/>
  <c r="F19" i="8" s="1"/>
  <c r="M122" i="10"/>
  <c r="M18" i="8" s="1"/>
  <c r="N123" i="10"/>
  <c r="N19" i="8" s="1"/>
  <c r="U122" i="10"/>
  <c r="U18" i="8" s="1"/>
  <c r="V123" i="10"/>
  <c r="V19" i="8" s="1"/>
  <c r="AC57" i="10"/>
  <c r="AK122" i="10"/>
  <c r="AK18" i="8" s="1"/>
  <c r="AL123" i="10"/>
  <c r="AL19" i="8" s="1"/>
  <c r="H136" i="10"/>
  <c r="I119" i="10"/>
  <c r="I15" i="8" s="1"/>
  <c r="H87" i="10"/>
  <c r="X136" i="10"/>
  <c r="Y119" i="10"/>
  <c r="Y15" i="8" s="1"/>
  <c r="X87" i="10"/>
  <c r="AF136" i="10"/>
  <c r="AG119" i="10"/>
  <c r="AG15" i="8" s="1"/>
  <c r="AF87" i="10"/>
  <c r="AN136" i="10"/>
  <c r="AO119" i="10"/>
  <c r="AN87" i="10"/>
  <c r="K136" i="10"/>
  <c r="K87" i="10"/>
  <c r="L119" i="10"/>
  <c r="L15" i="8" s="1"/>
  <c r="S136" i="10"/>
  <c r="S87" i="10"/>
  <c r="T119" i="10"/>
  <c r="T15" i="8" s="1"/>
  <c r="AA136" i="10"/>
  <c r="AA87" i="10"/>
  <c r="AB119" i="10"/>
  <c r="AB15" i="8" s="1"/>
  <c r="AI136" i="10"/>
  <c r="AI87" i="10"/>
  <c r="AJ119" i="10"/>
  <c r="AJ15" i="8" s="1"/>
  <c r="V136" i="10"/>
  <c r="W119" i="10"/>
  <c r="W15" i="8" s="1"/>
  <c r="V87" i="10"/>
  <c r="F122" i="10"/>
  <c r="F18" i="8" s="1"/>
  <c r="G123" i="10"/>
  <c r="G19" i="8" s="1"/>
  <c r="N122" i="10"/>
  <c r="N18" i="8" s="1"/>
  <c r="O123" i="10"/>
  <c r="O19" i="8" s="1"/>
  <c r="V122" i="10"/>
  <c r="V18" i="8" s="1"/>
  <c r="W123" i="10"/>
  <c r="W19" i="8" s="1"/>
  <c r="AD122" i="10"/>
  <c r="AE123" i="10"/>
  <c r="AL122" i="10"/>
  <c r="AL18" i="8" s="1"/>
  <c r="AM123" i="10"/>
  <c r="AM19" i="8" s="1"/>
  <c r="I136" i="10"/>
  <c r="J119" i="10"/>
  <c r="J15" i="8" s="1"/>
  <c r="I87" i="10"/>
  <c r="Q136" i="10"/>
  <c r="R119" i="10"/>
  <c r="R15" i="8" s="1"/>
  <c r="Q87" i="10"/>
  <c r="Y136" i="10"/>
  <c r="Z119" i="10"/>
  <c r="Z15" i="8" s="1"/>
  <c r="Y87" i="10"/>
  <c r="AG136" i="10"/>
  <c r="AH119" i="10"/>
  <c r="AH15" i="8" s="1"/>
  <c r="AG87" i="10"/>
  <c r="AO136" i="10"/>
  <c r="AO87" i="10"/>
  <c r="AH136" i="10"/>
  <c r="AI119" i="10"/>
  <c r="AI15" i="8" s="1"/>
  <c r="AH87" i="10"/>
  <c r="AD136" i="10"/>
  <c r="AE119" i="10"/>
  <c r="AE15" i="8" s="1"/>
  <c r="AD87" i="10"/>
  <c r="AC85" i="10"/>
  <c r="C112" i="10"/>
  <c r="AG118" i="10"/>
  <c r="H169" i="10"/>
  <c r="Y169" i="10"/>
  <c r="D200" i="10"/>
  <c r="E196" i="10" s="1"/>
  <c r="K169" i="10"/>
  <c r="AB169" i="10"/>
  <c r="M169" i="10"/>
  <c r="AE169" i="10"/>
  <c r="O169" i="10"/>
  <c r="AG17" i="11"/>
  <c r="G19" i="11"/>
  <c r="AI169" i="10"/>
  <c r="Z169" i="10"/>
  <c r="R169" i="10"/>
  <c r="I169" i="10"/>
  <c r="AN169" i="10"/>
  <c r="AF169" i="10"/>
  <c r="W169" i="10"/>
  <c r="N169" i="10"/>
  <c r="F169" i="10"/>
  <c r="AL169" i="10"/>
  <c r="AD169" i="10"/>
  <c r="U169" i="10"/>
  <c r="L169" i="10"/>
  <c r="D169" i="10"/>
  <c r="AJ169" i="10"/>
  <c r="AA169" i="10"/>
  <c r="S169" i="10"/>
  <c r="J169" i="10"/>
  <c r="D168" i="10"/>
  <c r="Q169" i="10"/>
  <c r="AH169" i="10"/>
  <c r="AV17" i="11"/>
  <c r="K19" i="11"/>
  <c r="T169" i="10"/>
  <c r="AK169" i="10"/>
  <c r="O19" i="11"/>
  <c r="R6" i="11"/>
  <c r="R17" i="11" s="1"/>
  <c r="I17" i="11"/>
  <c r="G57" i="10" s="1"/>
  <c r="Q17" i="11"/>
  <c r="O57" i="10" s="1"/>
  <c r="L19" i="11"/>
  <c r="D199" i="10"/>
  <c r="D198" i="10" s="1"/>
  <c r="M19" i="11"/>
  <c r="H19" i="11"/>
  <c r="P19" i="11"/>
  <c r="F35" i="5" l="1"/>
  <c r="E36" i="5"/>
  <c r="F9" i="5"/>
  <c r="F15" i="7"/>
  <c r="L122" i="10"/>
  <c r="L18" i="8" s="1"/>
  <c r="E123" i="10"/>
  <c r="P120" i="10"/>
  <c r="P16" i="8" s="1"/>
  <c r="Q16" i="8"/>
  <c r="F185" i="10"/>
  <c r="F184" i="10" s="1"/>
  <c r="F186" i="10"/>
  <c r="G182" i="10" s="1"/>
  <c r="E16" i="8"/>
  <c r="H113" i="10"/>
  <c r="G39" i="10"/>
  <c r="AC137" i="10"/>
  <c r="M60" i="10"/>
  <c r="M62" i="10" s="1"/>
  <c r="AH113" i="10"/>
  <c r="AG39" i="10"/>
  <c r="AO113" i="10"/>
  <c r="AN39" i="10"/>
  <c r="X113" i="10"/>
  <c r="W62" i="10"/>
  <c r="W39" i="10"/>
  <c r="O113" i="10"/>
  <c r="N39" i="10"/>
  <c r="I113" i="10"/>
  <c r="H39" i="10"/>
  <c r="J113" i="10"/>
  <c r="I39" i="10"/>
  <c r="N120" i="10"/>
  <c r="N16" i="8" s="1"/>
  <c r="AA135" i="10"/>
  <c r="AA111" i="10"/>
  <c r="AA9" i="8"/>
  <c r="H118" i="10"/>
  <c r="L118" i="10"/>
  <c r="AE118" i="10"/>
  <c r="Y88" i="10"/>
  <c r="Y59" i="10"/>
  <c r="Y60" i="10" s="1"/>
  <c r="Y62" i="10" s="1"/>
  <c r="AO15" i="8"/>
  <c r="H59" i="10"/>
  <c r="H60" i="10" s="1"/>
  <c r="H62" i="10" s="1"/>
  <c r="H88" i="10"/>
  <c r="AM88" i="10"/>
  <c r="AM59" i="10"/>
  <c r="AM60" i="10" s="1"/>
  <c r="AM62" i="10" s="1"/>
  <c r="Q113" i="10"/>
  <c r="O39" i="10"/>
  <c r="AJ118" i="10"/>
  <c r="AA88" i="10"/>
  <c r="AA59" i="10"/>
  <c r="AA60" i="10" s="1"/>
  <c r="AA62" i="10" s="1"/>
  <c r="Q118" i="10"/>
  <c r="M118" i="10"/>
  <c r="AK88" i="10"/>
  <c r="AK59" i="10"/>
  <c r="J136" i="10"/>
  <c r="K119" i="10"/>
  <c r="K15" i="8" s="1"/>
  <c r="J87" i="10"/>
  <c r="AB60" i="10"/>
  <c r="AB62" i="10" s="1"/>
  <c r="AG113" i="10"/>
  <c r="AF39" i="10"/>
  <c r="AK60" i="10"/>
  <c r="AK62" i="10" s="1"/>
  <c r="M137" i="10"/>
  <c r="AB118" i="10"/>
  <c r="C8" i="8"/>
  <c r="D20" i="5"/>
  <c r="D14" i="6"/>
  <c r="AC122" i="10"/>
  <c r="AC18" i="8" s="1"/>
  <c r="AD18" i="8"/>
  <c r="N88" i="10"/>
  <c r="N59" i="10"/>
  <c r="N60" i="10" s="1"/>
  <c r="N62" i="10" s="1"/>
  <c r="F88" i="10"/>
  <c r="F59" i="10"/>
  <c r="AD120" i="10"/>
  <c r="AL88" i="10"/>
  <c r="AL59" i="10"/>
  <c r="AL60" i="10" s="1"/>
  <c r="AL62" i="10" s="1"/>
  <c r="R113" i="10"/>
  <c r="Q39" i="10"/>
  <c r="E11" i="7"/>
  <c r="G137" i="10"/>
  <c r="C155" i="10"/>
  <c r="D6" i="7"/>
  <c r="D7" i="7" s="1"/>
  <c r="AL120" i="10"/>
  <c r="AL16" i="8" s="1"/>
  <c r="AA143" i="10"/>
  <c r="AB113" i="10"/>
  <c r="AA39" i="10"/>
  <c r="AG14" i="8"/>
  <c r="AN88" i="10"/>
  <c r="AN59" i="10"/>
  <c r="AN60" i="10" s="1"/>
  <c r="AN62" i="10" s="1"/>
  <c r="L88" i="10"/>
  <c r="L59" i="10"/>
  <c r="L60" i="10" s="1"/>
  <c r="V88" i="10"/>
  <c r="V59" i="10"/>
  <c r="V60" i="10" s="1"/>
  <c r="V62" i="10" s="1"/>
  <c r="P136" i="10"/>
  <c r="AH118" i="10"/>
  <c r="AN118" i="10"/>
  <c r="AH88" i="10"/>
  <c r="AH59" i="10"/>
  <c r="AH60" i="10" s="1"/>
  <c r="AH62" i="10" s="1"/>
  <c r="AE19" i="8"/>
  <c r="F31" i="5"/>
  <c r="AC119" i="10"/>
  <c r="AC15" i="8" s="1"/>
  <c r="AD15" i="8"/>
  <c r="R118" i="10"/>
  <c r="AB88" i="10"/>
  <c r="AB59" i="10"/>
  <c r="AE60" i="10"/>
  <c r="Y113" i="10"/>
  <c r="X39" i="10"/>
  <c r="Q15" i="8"/>
  <c r="D88" i="10"/>
  <c r="C87" i="10"/>
  <c r="D59" i="10"/>
  <c r="D60" i="10" s="1"/>
  <c r="AF120" i="10"/>
  <c r="AF16" i="8" s="1"/>
  <c r="N137" i="10"/>
  <c r="X120" i="10"/>
  <c r="X16" i="8" s="1"/>
  <c r="AM15" i="8"/>
  <c r="P155" i="10"/>
  <c r="E6" i="7"/>
  <c r="E7" i="7" s="1"/>
  <c r="S118" i="10"/>
  <c r="E199" i="10"/>
  <c r="E198" i="10" s="1"/>
  <c r="E200" i="10" s="1"/>
  <c r="F196" i="10" s="1"/>
  <c r="AC87" i="10"/>
  <c r="F7" i="6"/>
  <c r="Q88" i="10"/>
  <c r="Q59" i="10"/>
  <c r="U88" i="10"/>
  <c r="U59" i="10"/>
  <c r="D140" i="10"/>
  <c r="E139" i="10" s="1"/>
  <c r="C136" i="10"/>
  <c r="D141" i="10"/>
  <c r="E15" i="7"/>
  <c r="AL113" i="10"/>
  <c r="AK39" i="10"/>
  <c r="O137" i="10"/>
  <c r="D137" i="10"/>
  <c r="F120" i="10"/>
  <c r="F16" i="8" s="1"/>
  <c r="AI113" i="10"/>
  <c r="AH39" i="10"/>
  <c r="D36" i="10"/>
  <c r="U60" i="10"/>
  <c r="U62" i="10" s="1"/>
  <c r="F3" i="5"/>
  <c r="E3" i="6"/>
  <c r="E29" i="5"/>
  <c r="E3" i="7"/>
  <c r="D18" i="8"/>
  <c r="R136" i="10"/>
  <c r="S119" i="10"/>
  <c r="S15" i="8" s="1"/>
  <c r="R87" i="10"/>
  <c r="U118" i="10"/>
  <c r="I118" i="10"/>
  <c r="Z113" i="10"/>
  <c r="Y39" i="10"/>
  <c r="K113" i="10"/>
  <c r="J39" i="10"/>
  <c r="F6" i="5"/>
  <c r="AD118" i="10"/>
  <c r="AC123" i="10"/>
  <c r="AC19" i="8" s="1"/>
  <c r="AD19" i="8"/>
  <c r="E31" i="5"/>
  <c r="V15" i="8"/>
  <c r="E88" i="10"/>
  <c r="E59" i="10"/>
  <c r="C119" i="10"/>
  <c r="C15" i="8" s="1"/>
  <c r="E15" i="8"/>
  <c r="D171" i="10"/>
  <c r="D64" i="10" s="1"/>
  <c r="J118" i="10"/>
  <c r="AL118" i="10"/>
  <c r="Z118" i="10"/>
  <c r="K118" i="10"/>
  <c r="AO88" i="10"/>
  <c r="AO59" i="10"/>
  <c r="AO60" i="10" s="1"/>
  <c r="AO62" i="10" s="1"/>
  <c r="P85" i="10"/>
  <c r="S88" i="10"/>
  <c r="S59" i="10"/>
  <c r="S60" i="10" s="1"/>
  <c r="S62" i="10" s="1"/>
  <c r="AF59" i="10"/>
  <c r="AF60" i="10" s="1"/>
  <c r="AF62" i="10" s="1"/>
  <c r="AF88" i="10"/>
  <c r="G15" i="8"/>
  <c r="P122" i="10"/>
  <c r="P18" i="8" s="1"/>
  <c r="Q18" i="8"/>
  <c r="E60" i="10"/>
  <c r="E62" i="10" s="1"/>
  <c r="K36" i="10"/>
  <c r="F11" i="7"/>
  <c r="O122" i="10"/>
  <c r="O18" i="8" s="1"/>
  <c r="O58" i="10"/>
  <c r="Q123" i="10" s="1"/>
  <c r="AK118" i="10"/>
  <c r="F118" i="10"/>
  <c r="AI118" i="10"/>
  <c r="G122" i="10"/>
  <c r="G18" i="8" s="1"/>
  <c r="G58" i="10"/>
  <c r="H123" i="10" s="1"/>
  <c r="H19" i="8" s="1"/>
  <c r="T118" i="10"/>
  <c r="AA118" i="10"/>
  <c r="N118" i="10"/>
  <c r="Y118" i="10"/>
  <c r="AD88" i="10"/>
  <c r="AD59" i="10"/>
  <c r="AG88" i="10"/>
  <c r="AG59" i="10"/>
  <c r="AG60" i="10" s="1"/>
  <c r="AG62" i="10" s="1"/>
  <c r="AI88" i="10"/>
  <c r="AI59" i="10"/>
  <c r="AI60" i="10" s="1"/>
  <c r="AI62" i="10" s="1"/>
  <c r="C57" i="10"/>
  <c r="T88" i="10"/>
  <c r="T59" i="10"/>
  <c r="T60" i="10" s="1"/>
  <c r="T62" i="10" s="1"/>
  <c r="F60" i="10"/>
  <c r="F62" i="10" s="1"/>
  <c r="AC155" i="10"/>
  <c r="F6" i="7"/>
  <c r="F7" i="7" s="1"/>
  <c r="AK113" i="10"/>
  <c r="AJ39" i="10"/>
  <c r="S113" i="10"/>
  <c r="R39" i="10"/>
  <c r="AE135" i="10"/>
  <c r="AE111" i="10"/>
  <c r="AE9" i="8"/>
  <c r="L36" i="10"/>
  <c r="AE120" i="10"/>
  <c r="AE16" i="8" s="1"/>
  <c r="W118" i="10"/>
  <c r="K88" i="10"/>
  <c r="K59" i="10"/>
  <c r="K60" i="10" s="1"/>
  <c r="X59" i="10"/>
  <c r="X60" i="10" s="1"/>
  <c r="X62" i="10" s="1"/>
  <c r="X88" i="10"/>
  <c r="V113" i="10"/>
  <c r="U39" i="10"/>
  <c r="U113" i="10"/>
  <c r="T39" i="10"/>
  <c r="AD135" i="10"/>
  <c r="AD111" i="10"/>
  <c r="AD9" i="8"/>
  <c r="AJ113" i="10"/>
  <c r="AI39" i="10"/>
  <c r="AN113" i="10"/>
  <c r="AM39" i="10"/>
  <c r="F113" i="10"/>
  <c r="E39" i="10"/>
  <c r="D170" i="10"/>
  <c r="D172" i="10" s="1"/>
  <c r="E168" i="10" s="1"/>
  <c r="D118" i="10"/>
  <c r="AF118" i="10"/>
  <c r="O118" i="10"/>
  <c r="AC136" i="10"/>
  <c r="I88" i="10"/>
  <c r="I59" i="10"/>
  <c r="I60" i="10" s="1"/>
  <c r="I62" i="10" s="1"/>
  <c r="E19" i="8"/>
  <c r="M88" i="10"/>
  <c r="M59" i="10"/>
  <c r="AJ88" i="10"/>
  <c r="AJ59" i="10"/>
  <c r="AJ60" i="10" s="1"/>
  <c r="AJ62" i="10" s="1"/>
  <c r="Z136" i="10"/>
  <c r="AA119" i="10"/>
  <c r="AA15" i="8" s="1"/>
  <c r="Z87" i="10"/>
  <c r="P137" i="10"/>
  <c r="AO39" i="10"/>
  <c r="T113" i="10"/>
  <c r="S39" i="10"/>
  <c r="AF113" i="10"/>
  <c r="AC113" i="10" s="1"/>
  <c r="AC9" i="8" s="1"/>
  <c r="AE62" i="10"/>
  <c r="AE39" i="10"/>
  <c r="AM135" i="10"/>
  <c r="AM111" i="10"/>
  <c r="AM9" i="8"/>
  <c r="W113" i="10"/>
  <c r="V39" i="10"/>
  <c r="N113" i="10"/>
  <c r="M39" i="10"/>
  <c r="G113" i="10"/>
  <c r="F39" i="10"/>
  <c r="D30" i="5"/>
  <c r="F36" i="5" l="1"/>
  <c r="C123" i="10"/>
  <c r="C19" i="8" s="1"/>
  <c r="F200" i="10"/>
  <c r="G196" i="10" s="1"/>
  <c r="F199" i="10"/>
  <c r="F198" i="10" s="1"/>
  <c r="P123" i="10"/>
  <c r="P19" i="8" s="1"/>
  <c r="Q19" i="8"/>
  <c r="D31" i="5"/>
  <c r="E171" i="10"/>
  <c r="AF14" i="8"/>
  <c r="AA14" i="8"/>
  <c r="R88" i="10"/>
  <c r="R59" i="10"/>
  <c r="R60" i="10" s="1"/>
  <c r="R62" i="10" s="1"/>
  <c r="D6" i="4"/>
  <c r="D8" i="4" s="1"/>
  <c r="E18" i="7"/>
  <c r="AD143" i="10"/>
  <c r="F14" i="8"/>
  <c r="Z135" i="10"/>
  <c r="Z111" i="10"/>
  <c r="Z9" i="8"/>
  <c r="D143" i="10"/>
  <c r="E113" i="10"/>
  <c r="D62" i="10"/>
  <c r="D66" i="10" s="1"/>
  <c r="D67" i="10" s="1"/>
  <c r="D39" i="10"/>
  <c r="C137" i="10"/>
  <c r="O60" i="10"/>
  <c r="O62" i="10" s="1"/>
  <c r="R14" i="8"/>
  <c r="AN14" i="8"/>
  <c r="AG135" i="10"/>
  <c r="AG111" i="10"/>
  <c r="AG9" i="8"/>
  <c r="M14" i="8"/>
  <c r="AJ14" i="8"/>
  <c r="AA7" i="8"/>
  <c r="K14" i="8"/>
  <c r="D124" i="10"/>
  <c r="T111" i="10"/>
  <c r="T135" i="10"/>
  <c r="T9" i="8"/>
  <c r="Z88" i="10"/>
  <c r="Z59" i="10"/>
  <c r="Z60" i="10" s="1"/>
  <c r="Z62" i="10" s="1"/>
  <c r="D117" i="10"/>
  <c r="C118" i="10"/>
  <c r="D14" i="8"/>
  <c r="D26" i="5"/>
  <c r="W14" i="8"/>
  <c r="AC59" i="10"/>
  <c r="T14" i="8"/>
  <c r="L113" i="10"/>
  <c r="D12" i="5" s="1"/>
  <c r="K62" i="10"/>
  <c r="K39" i="10"/>
  <c r="Z14" i="8"/>
  <c r="AB135" i="10"/>
  <c r="AB111" i="10"/>
  <c r="AB9" i="8"/>
  <c r="AE14" i="8"/>
  <c r="X135" i="10"/>
  <c r="X111" i="10"/>
  <c r="X9" i="8"/>
  <c r="V135" i="10"/>
  <c r="V111" i="10"/>
  <c r="V9" i="8"/>
  <c r="AK135" i="10"/>
  <c r="AK111" i="10"/>
  <c r="AK9" i="8"/>
  <c r="AK14" i="8"/>
  <c r="E126" i="10"/>
  <c r="AC88" i="10"/>
  <c r="AC150" i="10" s="1"/>
  <c r="AC89" i="10"/>
  <c r="C59" i="10"/>
  <c r="D21" i="7" s="1"/>
  <c r="D8" i="5" s="1"/>
  <c r="AH14" i="8"/>
  <c r="P118" i="10"/>
  <c r="Q14" i="8"/>
  <c r="D29" i="5"/>
  <c r="C120" i="10"/>
  <c r="C16" i="8" s="1"/>
  <c r="W135" i="10"/>
  <c r="W111" i="10"/>
  <c r="W9" i="8"/>
  <c r="AC118" i="10"/>
  <c r="AD14" i="8"/>
  <c r="K135" i="10"/>
  <c r="K111" i="10"/>
  <c r="K9" i="8"/>
  <c r="N135" i="10"/>
  <c r="N111" i="10"/>
  <c r="N9" i="8"/>
  <c r="AF135" i="10"/>
  <c r="AF111" i="10"/>
  <c r="AF9" i="8"/>
  <c r="AJ135" i="10"/>
  <c r="AJ111" i="10"/>
  <c r="AJ9" i="8"/>
  <c r="S135" i="10"/>
  <c r="S111" i="10"/>
  <c r="S9" i="8"/>
  <c r="Y14" i="8"/>
  <c r="C58" i="10"/>
  <c r="D15" i="7" s="1"/>
  <c r="D18" i="7" s="1"/>
  <c r="P87" i="10"/>
  <c r="E7" i="6"/>
  <c r="AL14" i="8"/>
  <c r="I14" i="8"/>
  <c r="C122" i="10"/>
  <c r="C18" i="8" s="1"/>
  <c r="E26" i="5"/>
  <c r="Y135" i="10"/>
  <c r="Y111" i="10"/>
  <c r="Y9" i="8"/>
  <c r="G60" i="10"/>
  <c r="G62" i="10" s="1"/>
  <c r="J88" i="10"/>
  <c r="C88" i="10" s="1"/>
  <c r="J59" i="10"/>
  <c r="J60" i="10" s="1"/>
  <c r="J62" i="10" s="1"/>
  <c r="L14" i="8"/>
  <c r="O135" i="10"/>
  <c r="O111" i="10"/>
  <c r="O9" i="8"/>
  <c r="AE143" i="10"/>
  <c r="F18" i="7"/>
  <c r="E6" i="4"/>
  <c r="E8" i="4" s="1"/>
  <c r="AI135" i="10"/>
  <c r="AI111" i="10"/>
  <c r="AI9" i="8"/>
  <c r="C6" i="4"/>
  <c r="C8" i="4" s="1"/>
  <c r="E20" i="5"/>
  <c r="AH135" i="10"/>
  <c r="AH111" i="10"/>
  <c r="AH9" i="8"/>
  <c r="G185" i="10"/>
  <c r="G184" i="10" s="1"/>
  <c r="G186" i="10" s="1"/>
  <c r="H182" i="10" s="1"/>
  <c r="M113" i="10"/>
  <c r="L62" i="10"/>
  <c r="L39" i="10"/>
  <c r="O14" i="8"/>
  <c r="N14" i="8"/>
  <c r="J14" i="8"/>
  <c r="U14" i="8"/>
  <c r="F3" i="6"/>
  <c r="F29" i="5"/>
  <c r="F12" i="5"/>
  <c r="F3" i="7"/>
  <c r="F30" i="5"/>
  <c r="F26" i="5"/>
  <c r="S14" i="8"/>
  <c r="H14" i="8"/>
  <c r="I135" i="10"/>
  <c r="I111" i="10"/>
  <c r="I9" i="8"/>
  <c r="E30" i="5"/>
  <c r="AC120" i="10"/>
  <c r="AC16" i="8" s="1"/>
  <c r="AD16" i="8"/>
  <c r="AM7" i="8"/>
  <c r="AN135" i="10"/>
  <c r="AN111" i="10"/>
  <c r="AN9" i="8"/>
  <c r="U111" i="10"/>
  <c r="U135" i="10"/>
  <c r="U9" i="8"/>
  <c r="G135" i="10"/>
  <c r="G111" i="10"/>
  <c r="G9" i="8"/>
  <c r="F135" i="10"/>
  <c r="F111" i="10"/>
  <c r="F9" i="8"/>
  <c r="AM143" i="10"/>
  <c r="AD7" i="8"/>
  <c r="AE7" i="8"/>
  <c r="AI14" i="8"/>
  <c r="AD60" i="10"/>
  <c r="AD62" i="10" s="1"/>
  <c r="AL135" i="10"/>
  <c r="AL111" i="10"/>
  <c r="AL9" i="8"/>
  <c r="P119" i="10"/>
  <c r="P15" i="8" s="1"/>
  <c r="AB14" i="8"/>
  <c r="H135" i="10"/>
  <c r="H111" i="10"/>
  <c r="H9" i="8"/>
  <c r="P59" i="10"/>
  <c r="Q60" i="10"/>
  <c r="Q62" i="10" s="1"/>
  <c r="R135" i="10"/>
  <c r="R111" i="10"/>
  <c r="R9" i="8"/>
  <c r="Q135" i="10"/>
  <c r="Q111" i="10"/>
  <c r="P113" i="10"/>
  <c r="P9" i="8" s="1"/>
  <c r="Q9" i="8"/>
  <c r="J135" i="10"/>
  <c r="J111" i="10"/>
  <c r="J9" i="8"/>
  <c r="AO135" i="10"/>
  <c r="AO111" i="10"/>
  <c r="AO9" i="8"/>
  <c r="D19" i="7" l="1"/>
  <c r="D22" i="7"/>
  <c r="H185" i="10"/>
  <c r="H184" i="10" s="1"/>
  <c r="H186" i="10" s="1"/>
  <c r="I182" i="10" s="1"/>
  <c r="C150" i="10"/>
  <c r="C89" i="10"/>
  <c r="AH143" i="10"/>
  <c r="K7" i="8"/>
  <c r="W143" i="10"/>
  <c r="E22" i="8"/>
  <c r="V7" i="8"/>
  <c r="F21" i="7"/>
  <c r="AC60" i="10"/>
  <c r="AC62" i="10" s="1"/>
  <c r="AG7" i="8"/>
  <c r="Z7" i="8"/>
  <c r="E19" i="7"/>
  <c r="E64" i="10"/>
  <c r="E170" i="10"/>
  <c r="E172" i="10" s="1"/>
  <c r="F168" i="10" s="1"/>
  <c r="H143" i="10"/>
  <c r="I143" i="10"/>
  <c r="J7" i="8"/>
  <c r="R7" i="8"/>
  <c r="F7" i="8"/>
  <c r="AI7" i="8"/>
  <c r="V143" i="10"/>
  <c r="AG143" i="10"/>
  <c r="Z143" i="10"/>
  <c r="D7" i="3"/>
  <c r="D9" i="4"/>
  <c r="D8" i="3" s="1"/>
  <c r="M135" i="10"/>
  <c r="M111" i="10"/>
  <c r="M9" i="8"/>
  <c r="F20" i="5"/>
  <c r="AI143" i="10"/>
  <c r="O7" i="8"/>
  <c r="Y7" i="8"/>
  <c r="AF7" i="8"/>
  <c r="AB7" i="8"/>
  <c r="T143" i="10"/>
  <c r="AJ143" i="10"/>
  <c r="F143" i="10"/>
  <c r="C60" i="10"/>
  <c r="C62" i="10" s="1"/>
  <c r="O143" i="10"/>
  <c r="Y143" i="10"/>
  <c r="S7" i="8"/>
  <c r="AF143" i="10"/>
  <c r="AC14" i="8"/>
  <c r="F9" i="6"/>
  <c r="D10" i="5"/>
  <c r="X7" i="8"/>
  <c r="AB143" i="10"/>
  <c r="T7" i="8"/>
  <c r="U143" i="10"/>
  <c r="U7" i="8"/>
  <c r="AL7" i="8"/>
  <c r="L135" i="10"/>
  <c r="L111" i="10"/>
  <c r="L9" i="8"/>
  <c r="J143" i="10"/>
  <c r="S143" i="10"/>
  <c r="C9" i="4"/>
  <c r="C8" i="3" s="1"/>
  <c r="C7" i="3"/>
  <c r="N7" i="8"/>
  <c r="P14" i="8"/>
  <c r="E9" i="6"/>
  <c r="AK7" i="8"/>
  <c r="E12" i="5"/>
  <c r="K143" i="10"/>
  <c r="C14" i="8"/>
  <c r="D9" i="6"/>
  <c r="E135" i="10"/>
  <c r="C113" i="10"/>
  <c r="C9" i="8" s="1"/>
  <c r="E111" i="10"/>
  <c r="E9" i="8"/>
  <c r="AC135" i="10"/>
  <c r="G143" i="10"/>
  <c r="AH7" i="8"/>
  <c r="R140" i="10"/>
  <c r="S139" i="10" s="1"/>
  <c r="S141" i="10" s="1"/>
  <c r="T126" i="10" s="1"/>
  <c r="T22" i="8" s="1"/>
  <c r="R141" i="10"/>
  <c r="S126" i="10" s="1"/>
  <c r="S22" i="8" s="1"/>
  <c r="R143" i="10"/>
  <c r="E21" i="7"/>
  <c r="E8" i="5" s="1"/>
  <c r="P60" i="10"/>
  <c r="P62" i="10" s="1"/>
  <c r="X143" i="10"/>
  <c r="AO7" i="8"/>
  <c r="P111" i="10"/>
  <c r="Q7" i="8"/>
  <c r="AL143" i="10"/>
  <c r="AC111" i="10"/>
  <c r="AN7" i="8"/>
  <c r="E9" i="4"/>
  <c r="E8" i="3" s="1"/>
  <c r="E7" i="3"/>
  <c r="AO143" i="10"/>
  <c r="P135" i="10"/>
  <c r="Q140" i="10"/>
  <c r="R139" i="10" s="1"/>
  <c r="Q141" i="10"/>
  <c r="Q143" i="10"/>
  <c r="H7" i="8"/>
  <c r="G7" i="8"/>
  <c r="AN143" i="10"/>
  <c r="I7" i="8"/>
  <c r="F19" i="7"/>
  <c r="F22" i="7"/>
  <c r="P88" i="10"/>
  <c r="P150" i="10" s="1"/>
  <c r="AJ7" i="8"/>
  <c r="N143" i="10"/>
  <c r="AK143" i="10"/>
  <c r="D13" i="8"/>
  <c r="D129" i="10"/>
  <c r="D128" i="10"/>
  <c r="D24" i="8" s="1"/>
  <c r="D20" i="8"/>
  <c r="W7" i="8"/>
  <c r="G199" i="10"/>
  <c r="G198" i="10" s="1"/>
  <c r="G200" i="10"/>
  <c r="H196" i="10" s="1"/>
  <c r="AC143" i="10" l="1"/>
  <c r="F8" i="5"/>
  <c r="F10" i="5" s="1"/>
  <c r="E10" i="5"/>
  <c r="I185" i="10"/>
  <c r="I184" i="10" s="1"/>
  <c r="I186" i="10" s="1"/>
  <c r="J182" i="10" s="1"/>
  <c r="P143" i="10"/>
  <c r="P7" i="8"/>
  <c r="L7" i="8"/>
  <c r="M143" i="10"/>
  <c r="F171" i="10"/>
  <c r="S140" i="10"/>
  <c r="T139" i="10" s="1"/>
  <c r="P89" i="10"/>
  <c r="R126" i="10"/>
  <c r="R22" i="8" s="1"/>
  <c r="L143" i="10"/>
  <c r="E124" i="10"/>
  <c r="E66" i="10"/>
  <c r="H199" i="10"/>
  <c r="H198" i="10" s="1"/>
  <c r="H200" i="10" s="1"/>
  <c r="I196" i="10" s="1"/>
  <c r="E22" i="7"/>
  <c r="D23" i="7"/>
  <c r="C10" i="4"/>
  <c r="C12" i="4"/>
  <c r="E109" i="10"/>
  <c r="D25" i="8"/>
  <c r="E7" i="8"/>
  <c r="C111" i="10"/>
  <c r="AC7" i="8"/>
  <c r="F23" i="7"/>
  <c r="E10" i="4"/>
  <c r="E12" i="4"/>
  <c r="E141" i="10"/>
  <c r="C135" i="10"/>
  <c r="E140" i="10"/>
  <c r="F139" i="10" s="1"/>
  <c r="E143" i="10"/>
  <c r="C143" i="10" s="1"/>
  <c r="M7" i="8"/>
  <c r="I199" i="10" l="1"/>
  <c r="I198" i="10" s="1"/>
  <c r="I200" i="10" s="1"/>
  <c r="J196" i="10" s="1"/>
  <c r="J185" i="10"/>
  <c r="J184" i="10" s="1"/>
  <c r="J186" i="10" s="1"/>
  <c r="K182" i="10" s="1"/>
  <c r="F126" i="10"/>
  <c r="T140" i="10"/>
  <c r="U139" i="10" s="1"/>
  <c r="T141" i="10"/>
  <c r="E5" i="8"/>
  <c r="F64" i="10"/>
  <c r="F170" i="10"/>
  <c r="F172" i="10" s="1"/>
  <c r="G168" i="10" s="1"/>
  <c r="C7" i="8"/>
  <c r="E11" i="4"/>
  <c r="E10" i="3" s="1"/>
  <c r="E9" i="3"/>
  <c r="E23" i="7"/>
  <c r="D10" i="4"/>
  <c r="D12" i="4"/>
  <c r="E20" i="8"/>
  <c r="E117" i="10"/>
  <c r="F141" i="10"/>
  <c r="G126" i="10" s="1"/>
  <c r="G22" i="8" s="1"/>
  <c r="F140" i="10"/>
  <c r="G139" i="10" s="1"/>
  <c r="C9" i="3"/>
  <c r="C11" i="4"/>
  <c r="C10" i="3" s="1"/>
  <c r="E67" i="10"/>
  <c r="J199" i="10" l="1"/>
  <c r="J198" i="10" s="1"/>
  <c r="J200" i="10" s="1"/>
  <c r="K196" i="10" s="1"/>
  <c r="K185" i="10"/>
  <c r="K184" i="10" s="1"/>
  <c r="K186" i="10"/>
  <c r="L182" i="10" s="1"/>
  <c r="U126" i="10"/>
  <c r="U22" i="8" s="1"/>
  <c r="U141" i="10"/>
  <c r="V126" i="10" s="1"/>
  <c r="V22" i="8" s="1"/>
  <c r="U140" i="10"/>
  <c r="V139" i="10" s="1"/>
  <c r="G140" i="10"/>
  <c r="H139" i="10" s="1"/>
  <c r="G141" i="10"/>
  <c r="F22" i="8"/>
  <c r="F124" i="10"/>
  <c r="F66" i="10"/>
  <c r="D11" i="4"/>
  <c r="D10" i="3" s="1"/>
  <c r="D9" i="3"/>
  <c r="G171" i="10"/>
  <c r="E13" i="8"/>
  <c r="E128" i="10"/>
  <c r="E24" i="8" s="1"/>
  <c r="E129" i="10"/>
  <c r="K199" i="10" l="1"/>
  <c r="K198" i="10" s="1"/>
  <c r="K200" i="10" s="1"/>
  <c r="L196" i="10" s="1"/>
  <c r="V141" i="10"/>
  <c r="W126" i="10" s="1"/>
  <c r="W22" i="8" s="1"/>
  <c r="V140" i="10"/>
  <c r="W139" i="10" s="1"/>
  <c r="H126" i="10"/>
  <c r="F109" i="10"/>
  <c r="E25" i="8"/>
  <c r="F67" i="10"/>
  <c r="F20" i="8"/>
  <c r="F117" i="10"/>
  <c r="L185" i="10"/>
  <c r="L184" i="10" s="1"/>
  <c r="L186" i="10" s="1"/>
  <c r="M182" i="10" s="1"/>
  <c r="G64" i="10"/>
  <c r="G170" i="10"/>
  <c r="G172" i="10" s="1"/>
  <c r="H168" i="10" s="1"/>
  <c r="H140" i="10"/>
  <c r="I139" i="10" s="1"/>
  <c r="H141" i="10"/>
  <c r="I126" i="10" s="1"/>
  <c r="I22" i="8" s="1"/>
  <c r="M186" i="10" l="1"/>
  <c r="N182" i="10" s="1"/>
  <c r="M185" i="10"/>
  <c r="M184" i="10" s="1"/>
  <c r="L199" i="10"/>
  <c r="L198" i="10" s="1"/>
  <c r="L200" i="10" s="1"/>
  <c r="M196" i="10" s="1"/>
  <c r="H22" i="8"/>
  <c r="W140" i="10"/>
  <c r="X139" i="10" s="1"/>
  <c r="W141" i="10"/>
  <c r="F13" i="8"/>
  <c r="F128" i="10"/>
  <c r="F24" i="8" s="1"/>
  <c r="F129" i="10"/>
  <c r="F5" i="8"/>
  <c r="I140" i="10"/>
  <c r="J139" i="10" s="1"/>
  <c r="I141" i="10"/>
  <c r="J126" i="10" s="1"/>
  <c r="J22" i="8" s="1"/>
  <c r="H171" i="10"/>
  <c r="G124" i="10"/>
  <c r="G66" i="10"/>
  <c r="M199" i="10" l="1"/>
  <c r="M198" i="10" s="1"/>
  <c r="M200" i="10" s="1"/>
  <c r="N196" i="10" s="1"/>
  <c r="J141" i="10"/>
  <c r="K126" i="10" s="1"/>
  <c r="K22" i="8" s="1"/>
  <c r="J140" i="10"/>
  <c r="K139" i="10" s="1"/>
  <c r="X126" i="10"/>
  <c r="X22" i="8" s="1"/>
  <c r="G109" i="10"/>
  <c r="F25" i="8"/>
  <c r="G20" i="8"/>
  <c r="G117" i="10"/>
  <c r="N185" i="10"/>
  <c r="N184" i="10" s="1"/>
  <c r="N186" i="10"/>
  <c r="O182" i="10" s="1"/>
  <c r="X140" i="10"/>
  <c r="Y139" i="10" s="1"/>
  <c r="X141" i="10"/>
  <c r="Y126" i="10" s="1"/>
  <c r="Y22" i="8" s="1"/>
  <c r="G67" i="10"/>
  <c r="H64" i="10"/>
  <c r="H170" i="10"/>
  <c r="H172" i="10" s="1"/>
  <c r="I168" i="10" s="1"/>
  <c r="N199" i="10" l="1"/>
  <c r="N198" i="10" s="1"/>
  <c r="N200" i="10" s="1"/>
  <c r="O196" i="10" s="1"/>
  <c r="Y140" i="10"/>
  <c r="Z139" i="10" s="1"/>
  <c r="Y141" i="10"/>
  <c r="Z126" i="10" s="1"/>
  <c r="Z22" i="8" s="1"/>
  <c r="H124" i="10"/>
  <c r="H66" i="10"/>
  <c r="G129" i="10"/>
  <c r="G5" i="8"/>
  <c r="K140" i="10"/>
  <c r="L139" i="10" s="1"/>
  <c r="K141" i="10"/>
  <c r="L126" i="10" s="1"/>
  <c r="L22" i="8" s="1"/>
  <c r="I171" i="10"/>
  <c r="O185" i="10"/>
  <c r="O184" i="10" s="1"/>
  <c r="O186" i="10" s="1"/>
  <c r="Q182" i="10" s="1"/>
  <c r="G13" i="8"/>
  <c r="G128" i="10"/>
  <c r="G24" i="8" s="1"/>
  <c r="Q186" i="10" l="1"/>
  <c r="R182" i="10" s="1"/>
  <c r="Q185" i="10"/>
  <c r="Q184" i="10" s="1"/>
  <c r="O199" i="10"/>
  <c r="O198" i="10" s="1"/>
  <c r="O200" i="10"/>
  <c r="Q196" i="10" s="1"/>
  <c r="I64" i="10"/>
  <c r="I170" i="10"/>
  <c r="I172" i="10" s="1"/>
  <c r="J168" i="10" s="1"/>
  <c r="H67" i="10"/>
  <c r="H109" i="10"/>
  <c r="G25" i="8"/>
  <c r="H20" i="8"/>
  <c r="H117" i="10"/>
  <c r="L140" i="10"/>
  <c r="M139" i="10" s="1"/>
  <c r="L141" i="10"/>
  <c r="M126" i="10" s="1"/>
  <c r="M22" i="8" s="1"/>
  <c r="Z140" i="10"/>
  <c r="AA139" i="10" s="1"/>
  <c r="Z141" i="10"/>
  <c r="AA126" i="10" s="1"/>
  <c r="AA22" i="8" s="1"/>
  <c r="M141" i="10" l="1"/>
  <c r="N126" i="10" s="1"/>
  <c r="N22" i="8" s="1"/>
  <c r="M140" i="10"/>
  <c r="N139" i="10" s="1"/>
  <c r="R185" i="10"/>
  <c r="R184" i="10" s="1"/>
  <c r="R186" i="10" s="1"/>
  <c r="S182" i="10" s="1"/>
  <c r="J171" i="10"/>
  <c r="I124" i="10"/>
  <c r="I66" i="10"/>
  <c r="H13" i="8"/>
  <c r="H128" i="10"/>
  <c r="H24" i="8" s="1"/>
  <c r="Q199" i="10"/>
  <c r="Q198" i="10" s="1"/>
  <c r="Q200" i="10"/>
  <c r="R196" i="10" s="1"/>
  <c r="AA140" i="10"/>
  <c r="AB139" i="10" s="1"/>
  <c r="AA141" i="10"/>
  <c r="AB126" i="10" s="1"/>
  <c r="AB22" i="8" s="1"/>
  <c r="H129" i="10"/>
  <c r="H5" i="8"/>
  <c r="S186" i="10" l="1"/>
  <c r="T182" i="10" s="1"/>
  <c r="S185" i="10"/>
  <c r="S184" i="10" s="1"/>
  <c r="I109" i="10"/>
  <c r="H25" i="8"/>
  <c r="I67" i="10"/>
  <c r="I20" i="8"/>
  <c r="I117" i="10"/>
  <c r="AB141" i="10"/>
  <c r="AB140" i="10"/>
  <c r="P139" i="10"/>
  <c r="J64" i="10"/>
  <c r="J170" i="10"/>
  <c r="J172" i="10" s="1"/>
  <c r="K168" i="10" s="1"/>
  <c r="R199" i="10"/>
  <c r="R198" i="10" s="1"/>
  <c r="R200" i="10" s="1"/>
  <c r="S196" i="10" s="1"/>
  <c r="N141" i="10"/>
  <c r="O126" i="10" s="1"/>
  <c r="N140" i="10"/>
  <c r="O139" i="10" s="1"/>
  <c r="S199" i="10" l="1"/>
  <c r="S198" i="10" s="1"/>
  <c r="S200" i="10" s="1"/>
  <c r="T196" i="10" s="1"/>
  <c r="T185" i="10"/>
  <c r="T184" i="10" s="1"/>
  <c r="T186" i="10" s="1"/>
  <c r="U182" i="10" s="1"/>
  <c r="K171" i="10"/>
  <c r="J124" i="10"/>
  <c r="J66" i="10"/>
  <c r="AD139" i="10"/>
  <c r="E14" i="5"/>
  <c r="O141" i="10"/>
  <c r="O140" i="10"/>
  <c r="C139" i="10"/>
  <c r="AD126" i="10"/>
  <c r="P141" i="10"/>
  <c r="I129" i="10"/>
  <c r="I5" i="8"/>
  <c r="O22" i="8"/>
  <c r="C126" i="10"/>
  <c r="C22" i="8" s="1"/>
  <c r="I13" i="8"/>
  <c r="I128" i="10"/>
  <c r="I24" i="8" s="1"/>
  <c r="U185" i="10" l="1"/>
  <c r="U184" i="10" s="1"/>
  <c r="U186" i="10" s="1"/>
  <c r="V182" i="10" s="1"/>
  <c r="T199" i="10"/>
  <c r="T198" i="10" s="1"/>
  <c r="T200" i="10" s="1"/>
  <c r="U196" i="10" s="1"/>
  <c r="AD22" i="8"/>
  <c r="J67" i="10"/>
  <c r="J20" i="8"/>
  <c r="J117" i="10"/>
  <c r="C140" i="10"/>
  <c r="D14" i="5"/>
  <c r="Q126" i="10"/>
  <c r="D33" i="5"/>
  <c r="C141" i="10"/>
  <c r="J109" i="10"/>
  <c r="I25" i="8"/>
  <c r="K64" i="10"/>
  <c r="K170" i="10"/>
  <c r="K172" i="10" s="1"/>
  <c r="L168" i="10" s="1"/>
  <c r="AD140" i="10"/>
  <c r="AE139" i="10" s="1"/>
  <c r="AD141" i="10"/>
  <c r="U199" i="10" l="1"/>
  <c r="U198" i="10" s="1"/>
  <c r="U200" i="10" s="1"/>
  <c r="V196" i="10" s="1"/>
  <c r="V185" i="10"/>
  <c r="V184" i="10" s="1"/>
  <c r="V186" i="10" s="1"/>
  <c r="W182" i="10" s="1"/>
  <c r="K124" i="10"/>
  <c r="K66" i="10"/>
  <c r="J13" i="8"/>
  <c r="J128" i="10"/>
  <c r="J24" i="8" s="1"/>
  <c r="AE126" i="10"/>
  <c r="AE141" i="10"/>
  <c r="AF126" i="10" s="1"/>
  <c r="AF22" i="8" s="1"/>
  <c r="AE140" i="10"/>
  <c r="AF139" i="10" s="1"/>
  <c r="L171" i="10"/>
  <c r="E33" i="5"/>
  <c r="P126" i="10"/>
  <c r="P22" i="8" s="1"/>
  <c r="Q22" i="8"/>
  <c r="J129" i="10"/>
  <c r="J5" i="8"/>
  <c r="W185" i="10" l="1"/>
  <c r="W184" i="10" s="1"/>
  <c r="W186" i="10"/>
  <c r="X182" i="10" s="1"/>
  <c r="V199" i="10"/>
  <c r="V198" i="10" s="1"/>
  <c r="V200" i="10" s="1"/>
  <c r="W196" i="10" s="1"/>
  <c r="K67" i="10"/>
  <c r="K20" i="8"/>
  <c r="K117" i="10"/>
  <c r="AF141" i="10"/>
  <c r="AG126" i="10" s="1"/>
  <c r="AG22" i="8" s="1"/>
  <c r="AF140" i="10"/>
  <c r="AG139" i="10" s="1"/>
  <c r="K109" i="10"/>
  <c r="J25" i="8"/>
  <c r="L64" i="10"/>
  <c r="L170" i="10"/>
  <c r="L172" i="10" s="1"/>
  <c r="M168" i="10" s="1"/>
  <c r="AE22" i="8"/>
  <c r="W200" i="10" l="1"/>
  <c r="X196" i="10" s="1"/>
  <c r="W199" i="10"/>
  <c r="W198" i="10" s="1"/>
  <c r="L124" i="10"/>
  <c r="L66" i="10"/>
  <c r="AG141" i="10"/>
  <c r="AG140" i="10"/>
  <c r="AH139" i="10" s="1"/>
  <c r="X185" i="10"/>
  <c r="X184" i="10" s="1"/>
  <c r="X186" i="10" s="1"/>
  <c r="Y182" i="10" s="1"/>
  <c r="K129" i="10"/>
  <c r="K5" i="8"/>
  <c r="M171" i="10"/>
  <c r="K13" i="8"/>
  <c r="K128" i="10"/>
  <c r="K24" i="8" s="1"/>
  <c r="Y185" i="10" l="1"/>
  <c r="Y184" i="10" s="1"/>
  <c r="Y186" i="10" s="1"/>
  <c r="Z182" i="10" s="1"/>
  <c r="AH126" i="10"/>
  <c r="M64" i="10"/>
  <c r="M170" i="10"/>
  <c r="M172" i="10" s="1"/>
  <c r="N168" i="10" s="1"/>
  <c r="L67" i="10"/>
  <c r="L20" i="8"/>
  <c r="L117" i="10"/>
  <c r="AH140" i="10"/>
  <c r="AI139" i="10" s="1"/>
  <c r="AH141" i="10"/>
  <c r="AI126" i="10" s="1"/>
  <c r="AI22" i="8" s="1"/>
  <c r="L109" i="10"/>
  <c r="K25" i="8"/>
  <c r="X199" i="10"/>
  <c r="X198" i="10" s="1"/>
  <c r="X200" i="10"/>
  <c r="Y196" i="10" s="1"/>
  <c r="Z185" i="10" l="1"/>
  <c r="Z184" i="10" s="1"/>
  <c r="Z186" i="10"/>
  <c r="AA182" i="10" s="1"/>
  <c r="L13" i="8"/>
  <c r="L128" i="10"/>
  <c r="L24" i="8" s="1"/>
  <c r="AI140" i="10"/>
  <c r="AJ139" i="10" s="1"/>
  <c r="AI141" i="10"/>
  <c r="AJ126" i="10" s="1"/>
  <c r="AJ22" i="8" s="1"/>
  <c r="Y199" i="10"/>
  <c r="Y198" i="10" s="1"/>
  <c r="Y200" i="10" s="1"/>
  <c r="Z196" i="10" s="1"/>
  <c r="L129" i="10"/>
  <c r="L5" i="8"/>
  <c r="N171" i="10"/>
  <c r="M124" i="10"/>
  <c r="M66" i="10"/>
  <c r="AH22" i="8"/>
  <c r="Z199" i="10" l="1"/>
  <c r="Z198" i="10" s="1"/>
  <c r="Z200" i="10" s="1"/>
  <c r="AA196" i="10" s="1"/>
  <c r="M20" i="8"/>
  <c r="M117" i="10"/>
  <c r="AJ140" i="10"/>
  <c r="AK139" i="10" s="1"/>
  <c r="AJ141" i="10"/>
  <c r="N64" i="10"/>
  <c r="N170" i="10"/>
  <c r="N172" i="10" s="1"/>
  <c r="O168" i="10" s="1"/>
  <c r="AA185" i="10"/>
  <c r="AA184" i="10" s="1"/>
  <c r="AA186" i="10" s="1"/>
  <c r="AB182" i="10" s="1"/>
  <c r="M67" i="10"/>
  <c r="M109" i="10"/>
  <c r="L25" i="8"/>
  <c r="AB185" i="10" l="1"/>
  <c r="AB184" i="10" s="1"/>
  <c r="AB186" i="10" s="1"/>
  <c r="AD182" i="10" s="1"/>
  <c r="AA199" i="10"/>
  <c r="AA198" i="10" s="1"/>
  <c r="AA200" i="10" s="1"/>
  <c r="AB196" i="10" s="1"/>
  <c r="N124" i="10"/>
  <c r="N66" i="10"/>
  <c r="M13" i="8"/>
  <c r="M128" i="10"/>
  <c r="M24" i="8" s="1"/>
  <c r="O171" i="10"/>
  <c r="M129" i="10"/>
  <c r="M5" i="8"/>
  <c r="AK140" i="10"/>
  <c r="AL139" i="10" s="1"/>
  <c r="AK141" i="10"/>
  <c r="AL126" i="10" s="1"/>
  <c r="AL22" i="8" s="1"/>
  <c r="AK126" i="10"/>
  <c r="AB199" i="10" l="1"/>
  <c r="AB198" i="10" s="1"/>
  <c r="AB200" i="10" s="1"/>
  <c r="AD196" i="10" s="1"/>
  <c r="AD185" i="10"/>
  <c r="AD184" i="10" s="1"/>
  <c r="AD186" i="10" s="1"/>
  <c r="AE182" i="10" s="1"/>
  <c r="AK22" i="8"/>
  <c r="N67" i="10"/>
  <c r="AL140" i="10"/>
  <c r="AM139" i="10" s="1"/>
  <c r="AL141" i="10"/>
  <c r="AM126" i="10" s="1"/>
  <c r="AM22" i="8" s="1"/>
  <c r="N20" i="8"/>
  <c r="N117" i="10"/>
  <c r="O64" i="10"/>
  <c r="O170" i="10"/>
  <c r="O172" i="10" s="1"/>
  <c r="Q168" i="10" s="1"/>
  <c r="N109" i="10"/>
  <c r="M25" i="8"/>
  <c r="AE185" i="10" l="1"/>
  <c r="AE184" i="10" s="1"/>
  <c r="AE186" i="10" s="1"/>
  <c r="AF182" i="10" s="1"/>
  <c r="AD199" i="10"/>
  <c r="AD198" i="10" s="1"/>
  <c r="AD200" i="10" s="1"/>
  <c r="AE196" i="10" s="1"/>
  <c r="N129" i="10"/>
  <c r="N5" i="8"/>
  <c r="Q171" i="10"/>
  <c r="O124" i="10"/>
  <c r="O66" i="10"/>
  <c r="C64" i="10"/>
  <c r="N13" i="8"/>
  <c r="N128" i="10"/>
  <c r="N24" i="8" s="1"/>
  <c r="AM141" i="10"/>
  <c r="AN126" i="10" s="1"/>
  <c r="AN22" i="8" s="1"/>
  <c r="AM140" i="10"/>
  <c r="AN139" i="10" s="1"/>
  <c r="AE199" i="10" l="1"/>
  <c r="AE198" i="10" s="1"/>
  <c r="AE200" i="10"/>
  <c r="AF196" i="10" s="1"/>
  <c r="AF185" i="10"/>
  <c r="AF184" i="10" s="1"/>
  <c r="AF186" i="10" s="1"/>
  <c r="AG182" i="10" s="1"/>
  <c r="AN140" i="10"/>
  <c r="AO139" i="10" s="1"/>
  <c r="AN141" i="10"/>
  <c r="AO126" i="10" s="1"/>
  <c r="Q64" i="10"/>
  <c r="Q170" i="10"/>
  <c r="Q172" i="10" s="1"/>
  <c r="R168" i="10" s="1"/>
  <c r="O109" i="10"/>
  <c r="N25" i="8"/>
  <c r="D25" i="7"/>
  <c r="D26" i="7" s="1"/>
  <c r="C66" i="10"/>
  <c r="O67" i="10"/>
  <c r="O20" i="8"/>
  <c r="O117" i="10"/>
  <c r="C124" i="10"/>
  <c r="C20" i="8" s="1"/>
  <c r="AG185" i="10" l="1"/>
  <c r="AG184" i="10" s="1"/>
  <c r="AG186" i="10"/>
  <c r="AH182" i="10" s="1"/>
  <c r="Q124" i="10"/>
  <c r="Q66" i="10"/>
  <c r="AO22" i="8"/>
  <c r="AC126" i="10"/>
  <c r="AC22" i="8" s="1"/>
  <c r="AO140" i="10"/>
  <c r="F14" i="5" s="1"/>
  <c r="AO141" i="10"/>
  <c r="AC139" i="10"/>
  <c r="D27" i="7"/>
  <c r="AF199" i="10"/>
  <c r="AF198" i="10" s="1"/>
  <c r="AF200" i="10" s="1"/>
  <c r="AG196" i="10" s="1"/>
  <c r="R171" i="10"/>
  <c r="C149" i="10"/>
  <c r="C67" i="10"/>
  <c r="O13" i="8"/>
  <c r="O128" i="10"/>
  <c r="O24" i="8" s="1"/>
  <c r="C117" i="10"/>
  <c r="O129" i="10"/>
  <c r="O5" i="8"/>
  <c r="AG199" i="10" l="1"/>
  <c r="AG198" i="10" s="1"/>
  <c r="AG200" i="10" s="1"/>
  <c r="AH196" i="10" s="1"/>
  <c r="R64" i="10"/>
  <c r="R170" i="10"/>
  <c r="R172" i="10" s="1"/>
  <c r="S168" i="10" s="1"/>
  <c r="C129" i="10"/>
  <c r="Q109" i="10"/>
  <c r="O25" i="8"/>
  <c r="C14" i="4"/>
  <c r="C15" i="4"/>
  <c r="C23" i="3" s="1"/>
  <c r="C13" i="8"/>
  <c r="C128" i="10"/>
  <c r="C24" i="8" s="1"/>
  <c r="Q67" i="10"/>
  <c r="Q20" i="8"/>
  <c r="Q117" i="10"/>
  <c r="C153" i="10"/>
  <c r="P148" i="10" s="1"/>
  <c r="C151" i="10"/>
  <c r="C152" i="10" s="1"/>
  <c r="C70" i="10" s="1"/>
  <c r="AH185" i="10"/>
  <c r="AH184" i="10" s="1"/>
  <c r="AH186" i="10" s="1"/>
  <c r="AI182" i="10" s="1"/>
  <c r="F33" i="5"/>
  <c r="AC141" i="10"/>
  <c r="AH199" i="10" l="1"/>
  <c r="AH198" i="10" s="1"/>
  <c r="AH200" i="10" s="1"/>
  <c r="AI196" i="10" s="1"/>
  <c r="AI185" i="10"/>
  <c r="AI184" i="10" s="1"/>
  <c r="AI186" i="10"/>
  <c r="AJ182" i="10" s="1"/>
  <c r="Q129" i="10"/>
  <c r="P109" i="10"/>
  <c r="P5" i="8" s="1"/>
  <c r="Q5" i="8"/>
  <c r="C22" i="3"/>
  <c r="C24" i="3"/>
  <c r="C25" i="8"/>
  <c r="D15" i="5"/>
  <c r="D27" i="5"/>
  <c r="S171" i="10"/>
  <c r="Q13" i="8"/>
  <c r="Q128" i="10"/>
  <c r="Q24" i="8" s="1"/>
  <c r="R124" i="10"/>
  <c r="R66" i="10"/>
  <c r="AB125" i="10"/>
  <c r="AB21" i="8" s="1"/>
  <c r="Y125" i="10"/>
  <c r="Y21" i="8" s="1"/>
  <c r="V125" i="10"/>
  <c r="V21" i="8" s="1"/>
  <c r="U125" i="10"/>
  <c r="D30" i="7"/>
  <c r="D31" i="7" s="1"/>
  <c r="O70" i="10"/>
  <c r="O72" i="10" s="1"/>
  <c r="O73" i="10" s="1"/>
  <c r="K70" i="10"/>
  <c r="K72" i="10" s="1"/>
  <c r="K73" i="10" s="1"/>
  <c r="D70" i="10"/>
  <c r="L70" i="10"/>
  <c r="L72" i="10" s="1"/>
  <c r="L73" i="10" s="1"/>
  <c r="G70" i="10"/>
  <c r="G72" i="10" s="1"/>
  <c r="G73" i="10" s="1"/>
  <c r="H70" i="10"/>
  <c r="H72" i="10" s="1"/>
  <c r="H73" i="10" s="1"/>
  <c r="E70" i="10"/>
  <c r="E72" i="10" s="1"/>
  <c r="E73" i="10" s="1"/>
  <c r="M70" i="10"/>
  <c r="M72" i="10" s="1"/>
  <c r="M73" i="10" s="1"/>
  <c r="F70" i="10"/>
  <c r="F72" i="10" s="1"/>
  <c r="F73" i="10" s="1"/>
  <c r="N70" i="10"/>
  <c r="N72" i="10" s="1"/>
  <c r="N73" i="10" s="1"/>
  <c r="I70" i="10"/>
  <c r="I72" i="10" s="1"/>
  <c r="I73" i="10" s="1"/>
  <c r="J70" i="10"/>
  <c r="J72" i="10" s="1"/>
  <c r="J73" i="10" s="1"/>
  <c r="AI199" i="10" l="1"/>
  <c r="AI198" i="10" s="1"/>
  <c r="AI200" i="10" s="1"/>
  <c r="AJ196" i="10" s="1"/>
  <c r="D13" i="5"/>
  <c r="D32" i="5"/>
  <c r="D72" i="10"/>
  <c r="S64" i="10"/>
  <c r="S170" i="10"/>
  <c r="S172" i="10" s="1"/>
  <c r="T168" i="10" s="1"/>
  <c r="AJ185" i="10"/>
  <c r="AJ184" i="10" s="1"/>
  <c r="AJ186" i="10" s="1"/>
  <c r="AK182" i="10" s="1"/>
  <c r="D12" i="6"/>
  <c r="D32" i="7"/>
  <c r="C12" i="3" s="1"/>
  <c r="D22" i="5"/>
  <c r="C11" i="3"/>
  <c r="R67" i="10"/>
  <c r="P125" i="10"/>
  <c r="P21" i="8" s="1"/>
  <c r="U21" i="8"/>
  <c r="R20" i="8"/>
  <c r="R117" i="10"/>
  <c r="R109" i="10"/>
  <c r="Q25" i="8"/>
  <c r="AK185" i="10" l="1"/>
  <c r="AK184" i="10" s="1"/>
  <c r="AK186" i="10"/>
  <c r="AL182" i="10" s="1"/>
  <c r="AJ199" i="10"/>
  <c r="AJ198" i="10" s="1"/>
  <c r="AJ200" i="10" s="1"/>
  <c r="AK196" i="10" s="1"/>
  <c r="D43" i="5"/>
  <c r="D17" i="5"/>
  <c r="D18" i="5" s="1"/>
  <c r="D38" i="5"/>
  <c r="E21" i="5"/>
  <c r="D24" i="5"/>
  <c r="R129" i="10"/>
  <c r="R5" i="8"/>
  <c r="R13" i="8"/>
  <c r="R128" i="10"/>
  <c r="R24" i="8" s="1"/>
  <c r="T171" i="10"/>
  <c r="S124" i="10"/>
  <c r="S66" i="10"/>
  <c r="C72" i="10"/>
  <c r="D73" i="10"/>
  <c r="AK199" i="10" l="1"/>
  <c r="AK198" i="10" s="1"/>
  <c r="AK200" i="10" s="1"/>
  <c r="AL196" i="10" s="1"/>
  <c r="C17" i="4"/>
  <c r="C27" i="3" s="1"/>
  <c r="D44" i="5"/>
  <c r="S67" i="10"/>
  <c r="S109" i="10"/>
  <c r="R25" i="8"/>
  <c r="D39" i="5"/>
  <c r="C16" i="4"/>
  <c r="C25" i="3" s="1"/>
  <c r="C73" i="10"/>
  <c r="D36" i="7"/>
  <c r="AL185" i="10"/>
  <c r="AL184" i="10" s="1"/>
  <c r="AL186" i="10" s="1"/>
  <c r="AM182" i="10" s="1"/>
  <c r="S20" i="8"/>
  <c r="S117" i="10"/>
  <c r="T64" i="10"/>
  <c r="T170" i="10"/>
  <c r="T172" i="10" s="1"/>
  <c r="U168" i="10" s="1"/>
  <c r="C26" i="3" l="1"/>
  <c r="D41" i="5"/>
  <c r="AM185" i="10"/>
  <c r="AM184" i="10" s="1"/>
  <c r="AM186" i="10" s="1"/>
  <c r="AN182" i="10" s="1"/>
  <c r="AL199" i="10"/>
  <c r="AL198" i="10" s="1"/>
  <c r="AL200" i="10" s="1"/>
  <c r="AM196" i="10" s="1"/>
  <c r="S129" i="10"/>
  <c r="S5" i="8"/>
  <c r="T124" i="10"/>
  <c r="T66" i="10"/>
  <c r="U171" i="10"/>
  <c r="S13" i="8"/>
  <c r="S128" i="10"/>
  <c r="S24" i="8" s="1"/>
  <c r="D13" i="6"/>
  <c r="D17" i="6" s="1"/>
  <c r="D8" i="6"/>
  <c r="AM199" i="10" l="1"/>
  <c r="AM198" i="10" s="1"/>
  <c r="AM200" i="10" s="1"/>
  <c r="AN196" i="10" s="1"/>
  <c r="AN185" i="10"/>
  <c r="AN184" i="10" s="1"/>
  <c r="AN186" i="10"/>
  <c r="AO182" i="10" s="1"/>
  <c r="T20" i="8"/>
  <c r="T117" i="10"/>
  <c r="T67" i="10"/>
  <c r="U64" i="10"/>
  <c r="U170" i="10"/>
  <c r="U172" i="10" s="1"/>
  <c r="V168" i="10" s="1"/>
  <c r="C18" i="4"/>
  <c r="D10" i="6"/>
  <c r="D18" i="6" s="1"/>
  <c r="D19" i="6" s="1"/>
  <c r="D21" i="6" s="1"/>
  <c r="T109" i="10"/>
  <c r="S25" i="8"/>
  <c r="AN199" i="10" l="1"/>
  <c r="AN198" i="10" s="1"/>
  <c r="AN200" i="10" s="1"/>
  <c r="AO196" i="10" s="1"/>
  <c r="T129" i="10"/>
  <c r="T5" i="8"/>
  <c r="AO185" i="10"/>
  <c r="AO184" i="10" s="1"/>
  <c r="AO186" i="10" s="1"/>
  <c r="T13" i="8"/>
  <c r="T128" i="10"/>
  <c r="T24" i="8" s="1"/>
  <c r="V171" i="10"/>
  <c r="U124" i="10"/>
  <c r="U66" i="10"/>
  <c r="AO199" i="10" l="1"/>
  <c r="AO198" i="10" s="1"/>
  <c r="AO200" i="10" s="1"/>
  <c r="U109" i="10"/>
  <c r="T25" i="8"/>
  <c r="U67" i="10"/>
  <c r="U20" i="8"/>
  <c r="U117" i="10"/>
  <c r="V64" i="10"/>
  <c r="V170" i="10"/>
  <c r="V172" i="10" s="1"/>
  <c r="W168" i="10" s="1"/>
  <c r="W171" i="10" l="1"/>
  <c r="U13" i="8"/>
  <c r="U128" i="10"/>
  <c r="U24" i="8" s="1"/>
  <c r="V124" i="10"/>
  <c r="V66" i="10"/>
  <c r="U129" i="10"/>
  <c r="U5" i="8"/>
  <c r="V20" i="8" l="1"/>
  <c r="V117" i="10"/>
  <c r="V109" i="10"/>
  <c r="U25" i="8"/>
  <c r="V67" i="10"/>
  <c r="W64" i="10"/>
  <c r="W170" i="10"/>
  <c r="W172" i="10" s="1"/>
  <c r="X168" i="10" s="1"/>
  <c r="W124" i="10" l="1"/>
  <c r="W66" i="10"/>
  <c r="X171" i="10"/>
  <c r="V129" i="10"/>
  <c r="V5" i="8"/>
  <c r="V13" i="8"/>
  <c r="V128" i="10"/>
  <c r="V24" i="8" s="1"/>
  <c r="X64" i="10" l="1"/>
  <c r="X170" i="10"/>
  <c r="X172" i="10" s="1"/>
  <c r="Y168" i="10" s="1"/>
  <c r="W109" i="10"/>
  <c r="V25" i="8"/>
  <c r="W67" i="10"/>
  <c r="W20" i="8"/>
  <c r="W117" i="10"/>
  <c r="W13" i="8" l="1"/>
  <c r="W128" i="10"/>
  <c r="W24" i="8" s="1"/>
  <c r="Y171" i="10"/>
  <c r="W129" i="10"/>
  <c r="W5" i="8"/>
  <c r="X124" i="10"/>
  <c r="X66" i="10"/>
  <c r="X109" i="10" l="1"/>
  <c r="W25" i="8"/>
  <c r="X67" i="10"/>
  <c r="Y64" i="10"/>
  <c r="Y170" i="10"/>
  <c r="Y172" i="10" s="1"/>
  <c r="Z168" i="10" s="1"/>
  <c r="X20" i="8"/>
  <c r="X117" i="10"/>
  <c r="Z171" i="10" l="1"/>
  <c r="X13" i="8"/>
  <c r="X128" i="10"/>
  <c r="X24" i="8" s="1"/>
  <c r="Y124" i="10"/>
  <c r="Y66" i="10"/>
  <c r="X129" i="10"/>
  <c r="X5" i="8"/>
  <c r="Y109" i="10" l="1"/>
  <c r="X25" i="8"/>
  <c r="Y20" i="8"/>
  <c r="Y117" i="10"/>
  <c r="Y67" i="10"/>
  <c r="Z64" i="10"/>
  <c r="Z170" i="10"/>
  <c r="Z172" i="10" s="1"/>
  <c r="AA168" i="10" s="1"/>
  <c r="AA171" i="10" l="1"/>
  <c r="Z124" i="10"/>
  <c r="Z66" i="10"/>
  <c r="Y13" i="8"/>
  <c r="Y128" i="10"/>
  <c r="Y24" i="8" s="1"/>
  <c r="Y129" i="10"/>
  <c r="Y5" i="8"/>
  <c r="Z109" i="10" l="1"/>
  <c r="Y25" i="8"/>
  <c r="Z67" i="10"/>
  <c r="Z20" i="8"/>
  <c r="Z117" i="10"/>
  <c r="AA64" i="10"/>
  <c r="AA170" i="10"/>
  <c r="AA172" i="10" s="1"/>
  <c r="AB168" i="10" s="1"/>
  <c r="AB171" i="10" l="1"/>
  <c r="Z13" i="8"/>
  <c r="Z128" i="10"/>
  <c r="Z24" i="8" s="1"/>
  <c r="AA124" i="10"/>
  <c r="AA66" i="10"/>
  <c r="Z129" i="10"/>
  <c r="Z5" i="8"/>
  <c r="AA67" i="10" l="1"/>
  <c r="AA109" i="10"/>
  <c r="Z25" i="8"/>
  <c r="AA20" i="8"/>
  <c r="AA117" i="10"/>
  <c r="AB64" i="10"/>
  <c r="AB170" i="10"/>
  <c r="AB172" i="10" s="1"/>
  <c r="AD168" i="10" s="1"/>
  <c r="AA13" i="8" l="1"/>
  <c r="AA128" i="10"/>
  <c r="AA24" i="8" s="1"/>
  <c r="AD171" i="10"/>
  <c r="AA129" i="10"/>
  <c r="AA5" i="8"/>
  <c r="AB124" i="10"/>
  <c r="AB66" i="10"/>
  <c r="P64" i="10"/>
  <c r="AB67" i="10" l="1"/>
  <c r="AB109" i="10"/>
  <c r="AA25" i="8"/>
  <c r="AD64" i="10"/>
  <c r="AD170" i="10"/>
  <c r="AD172" i="10" s="1"/>
  <c r="AE168" i="10" s="1"/>
  <c r="AB20" i="8"/>
  <c r="AB117" i="10"/>
  <c r="P124" i="10"/>
  <c r="P20" i="8" s="1"/>
  <c r="E25" i="7"/>
  <c r="E26" i="7" s="1"/>
  <c r="P66" i="10"/>
  <c r="AB13" i="8" l="1"/>
  <c r="AB128" i="10"/>
  <c r="AB24" i="8" s="1"/>
  <c r="P117" i="10"/>
  <c r="P149" i="10"/>
  <c r="P67" i="10"/>
  <c r="AB129" i="10"/>
  <c r="AB5" i="8"/>
  <c r="AD124" i="10"/>
  <c r="AD66" i="10"/>
  <c r="AE171" i="10"/>
  <c r="E27" i="7"/>
  <c r="P129" i="10" l="1"/>
  <c r="AD109" i="10"/>
  <c r="AB25" i="8"/>
  <c r="D14" i="4"/>
  <c r="D15" i="4"/>
  <c r="D23" i="3" s="1"/>
  <c r="AE64" i="10"/>
  <c r="AE170" i="10"/>
  <c r="AE172" i="10" s="1"/>
  <c r="AF168" i="10" s="1"/>
  <c r="AD20" i="8"/>
  <c r="AD117" i="10"/>
  <c r="P151" i="10"/>
  <c r="P152" i="10" s="1"/>
  <c r="P70" i="10" s="1"/>
  <c r="P153" i="10"/>
  <c r="AC148" i="10" s="1"/>
  <c r="P13" i="8"/>
  <c r="P128" i="10"/>
  <c r="P24" i="8" s="1"/>
  <c r="AD67" i="10"/>
  <c r="AF171" i="10" l="1"/>
  <c r="AF125" i="10"/>
  <c r="AO125" i="10"/>
  <c r="AO21" i="8" s="1"/>
  <c r="AL125" i="10"/>
  <c r="AL21" i="8" s="1"/>
  <c r="AI125" i="10"/>
  <c r="AI21" i="8" s="1"/>
  <c r="AH125" i="10"/>
  <c r="AH21" i="8" s="1"/>
  <c r="W70" i="10"/>
  <c r="W72" i="10" s="1"/>
  <c r="W73" i="10" s="1"/>
  <c r="V70" i="10"/>
  <c r="V72" i="10" s="1"/>
  <c r="V73" i="10" s="1"/>
  <c r="U70" i="10"/>
  <c r="U72" i="10" s="1"/>
  <c r="U73" i="10" s="1"/>
  <c r="AB70" i="10"/>
  <c r="AB72" i="10" s="1"/>
  <c r="AB73" i="10" s="1"/>
  <c r="T70" i="10"/>
  <c r="T72" i="10" s="1"/>
  <c r="T73" i="10" s="1"/>
  <c r="AA70" i="10"/>
  <c r="AA72" i="10" s="1"/>
  <c r="AA73" i="10" s="1"/>
  <c r="S70" i="10"/>
  <c r="S72" i="10" s="1"/>
  <c r="S73" i="10" s="1"/>
  <c r="Z70" i="10"/>
  <c r="Z72" i="10" s="1"/>
  <c r="Z73" i="10" s="1"/>
  <c r="R70" i="10"/>
  <c r="R72" i="10" s="1"/>
  <c r="R73" i="10" s="1"/>
  <c r="Y70" i="10"/>
  <c r="Y72" i="10" s="1"/>
  <c r="Y73" i="10" s="1"/>
  <c r="Q70" i="10"/>
  <c r="X70" i="10"/>
  <c r="X72" i="10" s="1"/>
  <c r="X73" i="10" s="1"/>
  <c r="E30" i="7"/>
  <c r="E31" i="7" s="1"/>
  <c r="AD129" i="10"/>
  <c r="AC109" i="10"/>
  <c r="AC5" i="8" s="1"/>
  <c r="AD5" i="8"/>
  <c r="AE124" i="10"/>
  <c r="AE66" i="10"/>
  <c r="D22" i="3"/>
  <c r="D24" i="3"/>
  <c r="AD13" i="8"/>
  <c r="AD128" i="10"/>
  <c r="AD24" i="8" s="1"/>
  <c r="P25" i="8"/>
  <c r="E15" i="5"/>
  <c r="E27" i="5"/>
  <c r="AE20" i="8" l="1"/>
  <c r="AE117" i="10"/>
  <c r="AC125" i="10"/>
  <c r="AC21" i="8" s="1"/>
  <c r="AF21" i="8"/>
  <c r="E32" i="7"/>
  <c r="D12" i="3" s="1"/>
  <c r="E22" i="5"/>
  <c r="E12" i="6"/>
  <c r="D11" i="3"/>
  <c r="Q72" i="10"/>
  <c r="E32" i="5"/>
  <c r="E13" i="5"/>
  <c r="AF64" i="10"/>
  <c r="AF170" i="10"/>
  <c r="AF172" i="10" s="1"/>
  <c r="AG168" i="10" s="1"/>
  <c r="AE109" i="10"/>
  <c r="AD25" i="8"/>
  <c r="F27" i="5"/>
  <c r="AE67" i="10"/>
  <c r="F21" i="5" l="1"/>
  <c r="E24" i="5"/>
  <c r="E43" i="5"/>
  <c r="E17" i="5"/>
  <c r="E18" i="5" s="1"/>
  <c r="AF124" i="10"/>
  <c r="AF66" i="10"/>
  <c r="E38" i="5"/>
  <c r="P72" i="10"/>
  <c r="Q73" i="10"/>
  <c r="AE13" i="8"/>
  <c r="AE128" i="10"/>
  <c r="AE24" i="8" s="1"/>
  <c r="AE129" i="10"/>
  <c r="AE5" i="8"/>
  <c r="AG171" i="10"/>
  <c r="AF67" i="10" l="1"/>
  <c r="E44" i="5"/>
  <c r="D17" i="4"/>
  <c r="D27" i="3" s="1"/>
  <c r="E39" i="5"/>
  <c r="D16" i="4"/>
  <c r="D25" i="3" s="1"/>
  <c r="E41" i="5"/>
  <c r="AG64" i="10"/>
  <c r="AG170" i="10"/>
  <c r="AG172" i="10" s="1"/>
  <c r="AH168" i="10" s="1"/>
  <c r="AF20" i="8"/>
  <c r="AF117" i="10"/>
  <c r="P73" i="10"/>
  <c r="E36" i="7"/>
  <c r="AF109" i="10"/>
  <c r="AE25" i="8"/>
  <c r="D26" i="3" l="1"/>
  <c r="E8" i="6"/>
  <c r="E13" i="6"/>
  <c r="E17" i="6" s="1"/>
  <c r="AF13" i="8"/>
  <c r="AF128" i="10"/>
  <c r="AF24" i="8" s="1"/>
  <c r="AH171" i="10"/>
  <c r="AF129" i="10"/>
  <c r="AF5" i="8"/>
  <c r="AG124" i="10"/>
  <c r="AG66" i="10"/>
  <c r="AG20" i="8" l="1"/>
  <c r="AG117" i="10"/>
  <c r="D18" i="4"/>
  <c r="E10" i="6"/>
  <c r="E18" i="6" s="1"/>
  <c r="E19" i="6" s="1"/>
  <c r="E21" i="6" s="1"/>
  <c r="AH64" i="10"/>
  <c r="AH170" i="10"/>
  <c r="AH172" i="10" s="1"/>
  <c r="AI168" i="10" s="1"/>
  <c r="AG67" i="10"/>
  <c r="AG109" i="10"/>
  <c r="AF25" i="8"/>
  <c r="AH124" i="10" l="1"/>
  <c r="AH66" i="10"/>
  <c r="AG129" i="10"/>
  <c r="AG5" i="8"/>
  <c r="AG13" i="8"/>
  <c r="AG128" i="10"/>
  <c r="AG24" i="8" s="1"/>
  <c r="AI171" i="10"/>
  <c r="AH109" i="10" l="1"/>
  <c r="AG25" i="8"/>
  <c r="AI64" i="10"/>
  <c r="AI170" i="10"/>
  <c r="AI172" i="10" s="1"/>
  <c r="AJ168" i="10" s="1"/>
  <c r="AH67" i="10"/>
  <c r="AH20" i="8"/>
  <c r="AH117" i="10"/>
  <c r="AI124" i="10" l="1"/>
  <c r="AI66" i="10"/>
  <c r="AJ171" i="10"/>
  <c r="AH13" i="8"/>
  <c r="AH128" i="10"/>
  <c r="AH24" i="8" s="1"/>
  <c r="AH129" i="10"/>
  <c r="AH5" i="8"/>
  <c r="AI109" i="10" l="1"/>
  <c r="AH25" i="8"/>
  <c r="AJ64" i="10"/>
  <c r="AJ170" i="10"/>
  <c r="AJ172" i="10" s="1"/>
  <c r="AK168" i="10" s="1"/>
  <c r="AI67" i="10"/>
  <c r="AI20" i="8"/>
  <c r="AI117" i="10"/>
  <c r="AI13" i="8" l="1"/>
  <c r="AI128" i="10"/>
  <c r="AI24" i="8" s="1"/>
  <c r="AK171" i="10"/>
  <c r="AJ124" i="10"/>
  <c r="AJ66" i="10"/>
  <c r="AI129" i="10"/>
  <c r="AI5" i="8"/>
  <c r="AJ109" i="10" l="1"/>
  <c r="AI25" i="8"/>
  <c r="AJ67" i="10"/>
  <c r="AJ20" i="8"/>
  <c r="AJ117" i="10"/>
  <c r="AK64" i="10"/>
  <c r="AK170" i="10"/>
  <c r="AK172" i="10" s="1"/>
  <c r="AL168" i="10" s="1"/>
  <c r="AJ13" i="8" l="1"/>
  <c r="AJ128" i="10"/>
  <c r="AJ24" i="8" s="1"/>
  <c r="AK124" i="10"/>
  <c r="AK66" i="10"/>
  <c r="AL171" i="10"/>
  <c r="AJ129" i="10"/>
  <c r="AJ5" i="8"/>
  <c r="AK109" i="10" l="1"/>
  <c r="AJ25" i="8"/>
  <c r="AL64" i="10"/>
  <c r="AL170" i="10"/>
  <c r="AL172" i="10" s="1"/>
  <c r="AM168" i="10" s="1"/>
  <c r="AK67" i="10"/>
  <c r="AK20" i="8"/>
  <c r="AK117" i="10"/>
  <c r="AL124" i="10" l="1"/>
  <c r="AL66" i="10"/>
  <c r="AM171" i="10"/>
  <c r="AK13" i="8"/>
  <c r="AK128" i="10"/>
  <c r="AK24" i="8" s="1"/>
  <c r="AK129" i="10"/>
  <c r="AK5" i="8"/>
  <c r="AL109" i="10" l="1"/>
  <c r="AK25" i="8"/>
  <c r="AM64" i="10"/>
  <c r="AM170" i="10"/>
  <c r="AM172" i="10" s="1"/>
  <c r="AN168" i="10" s="1"/>
  <c r="AL67" i="10"/>
  <c r="AL20" i="8"/>
  <c r="AL117" i="10"/>
  <c r="AN171" i="10" l="1"/>
  <c r="AM124" i="10"/>
  <c r="AM66" i="10"/>
  <c r="AL13" i="8"/>
  <c r="AL128" i="10"/>
  <c r="AL24" i="8" s="1"/>
  <c r="AL129" i="10"/>
  <c r="AL5" i="8"/>
  <c r="AM109" i="10" l="1"/>
  <c r="AL25" i="8"/>
  <c r="AM67" i="10"/>
  <c r="AM20" i="8"/>
  <c r="AM117" i="10"/>
  <c r="AN64" i="10"/>
  <c r="AN170" i="10"/>
  <c r="AN172" i="10" s="1"/>
  <c r="AO168" i="10" s="1"/>
  <c r="AN124" i="10" l="1"/>
  <c r="AN66" i="10"/>
  <c r="AM13" i="8"/>
  <c r="AM128" i="10"/>
  <c r="AM24" i="8" s="1"/>
  <c r="AO171" i="10"/>
  <c r="AM129" i="10"/>
  <c r="AM5" i="8"/>
  <c r="AO64" i="10" l="1"/>
  <c r="AO170" i="10"/>
  <c r="AO172" i="10" s="1"/>
  <c r="AN109" i="10"/>
  <c r="AM25" i="8"/>
  <c r="AN67" i="10"/>
  <c r="AN20" i="8"/>
  <c r="AN117" i="10"/>
  <c r="AN129" i="10" l="1"/>
  <c r="AN5" i="8"/>
  <c r="AN13" i="8"/>
  <c r="AN128" i="10"/>
  <c r="AN24" i="8" s="1"/>
  <c r="AO124" i="10"/>
  <c r="AO66" i="10"/>
  <c r="AC64" i="10"/>
  <c r="F25" i="7" l="1"/>
  <c r="F26" i="7" s="1"/>
  <c r="AC66" i="10"/>
  <c r="AO20" i="8"/>
  <c r="AO117" i="10"/>
  <c r="AC124" i="10"/>
  <c r="AC20" i="8" s="1"/>
  <c r="AO67" i="10"/>
  <c r="AO109" i="10"/>
  <c r="AN25" i="8"/>
  <c r="AO13" i="8" l="1"/>
  <c r="AO128" i="10"/>
  <c r="AO24" i="8" s="1"/>
  <c r="AC117" i="10"/>
  <c r="AC149" i="10"/>
  <c r="AC67" i="10"/>
  <c r="AO129" i="10"/>
  <c r="AO5" i="8"/>
  <c r="F27" i="7"/>
  <c r="AC151" i="10" l="1"/>
  <c r="AC152" i="10" s="1"/>
  <c r="AC70" i="10" s="1"/>
  <c r="AC153" i="10"/>
  <c r="AC13" i="8"/>
  <c r="AC128" i="10"/>
  <c r="AC24" i="8" s="1"/>
  <c r="AC129" i="10"/>
  <c r="AO25" i="8"/>
  <c r="E14" i="4"/>
  <c r="E15" i="4"/>
  <c r="E23" i="3" s="1"/>
  <c r="E22" i="3" l="1"/>
  <c r="E24" i="3"/>
  <c r="AC25" i="8"/>
  <c r="F15" i="5"/>
  <c r="F30" i="7"/>
  <c r="F31" i="7" s="1"/>
  <c r="AO70" i="10"/>
  <c r="AO72" i="10" s="1"/>
  <c r="AO73" i="10" s="1"/>
  <c r="AG70" i="10"/>
  <c r="AG72" i="10" s="1"/>
  <c r="AG73" i="10" s="1"/>
  <c r="AH70" i="10"/>
  <c r="AH72" i="10" s="1"/>
  <c r="AH73" i="10" s="1"/>
  <c r="AJ70" i="10"/>
  <c r="AJ72" i="10" s="1"/>
  <c r="AJ73" i="10" s="1"/>
  <c r="AK70" i="10"/>
  <c r="AK72" i="10" s="1"/>
  <c r="AK73" i="10" s="1"/>
  <c r="AD70" i="10"/>
  <c r="AL70" i="10"/>
  <c r="AL72" i="10" s="1"/>
  <c r="AL73" i="10" s="1"/>
  <c r="AE70" i="10"/>
  <c r="AE72" i="10" s="1"/>
  <c r="AE73" i="10" s="1"/>
  <c r="AM70" i="10"/>
  <c r="AM72" i="10" s="1"/>
  <c r="AM73" i="10" s="1"/>
  <c r="AN70" i="10"/>
  <c r="AN72" i="10" s="1"/>
  <c r="AN73" i="10" s="1"/>
  <c r="AF70" i="10"/>
  <c r="AF72" i="10" s="1"/>
  <c r="AF73" i="10" s="1"/>
  <c r="AI70" i="10"/>
  <c r="AI72" i="10" s="1"/>
  <c r="AI73" i="10" s="1"/>
  <c r="F32" i="7" l="1"/>
  <c r="E12" i="3" s="1"/>
  <c r="F22" i="5"/>
  <c r="F24" i="5" s="1"/>
  <c r="F12" i="6"/>
  <c r="E11" i="3"/>
  <c r="AD72" i="10"/>
  <c r="F32" i="5"/>
  <c r="F38" i="5" s="1"/>
  <c r="F13" i="5"/>
  <c r="F17" i="5" l="1"/>
  <c r="F18" i="5" s="1"/>
  <c r="F43" i="5"/>
  <c r="AC72" i="10"/>
  <c r="AD73" i="10"/>
  <c r="E16" i="4"/>
  <c r="E25" i="3" s="1"/>
  <c r="F39" i="5"/>
  <c r="E26" i="3" l="1"/>
  <c r="F44" i="5"/>
  <c r="E17" i="4"/>
  <c r="E27" i="3" s="1"/>
  <c r="AC73" i="10"/>
  <c r="F36" i="7"/>
  <c r="F41" i="5"/>
  <c r="F8" i="6" l="1"/>
  <c r="F13" i="6"/>
  <c r="F17" i="6" s="1"/>
  <c r="E18" i="4" l="1"/>
  <c r="F10" i="6"/>
  <c r="F18" i="6" s="1"/>
  <c r="F19" i="6" s="1"/>
  <c r="F21" i="6" s="1"/>
</calcChain>
</file>

<file path=xl/sharedStrings.xml><?xml version="1.0" encoding="utf-8"?>
<sst xmlns="http://schemas.openxmlformats.org/spreadsheetml/2006/main" count="457" uniqueCount="355">
  <si>
    <t>ANNEXE 7 - PRÉVISIONNEL FINANCIER</t>
  </si>
  <si>
    <t>Cabinet d'Expertise Comptable 100% Numérique</t>
  </si>
  <si>
    <t>Guide de création d'un prévisionnel financier sur 3 ans</t>
  </si>
  <si>
    <t>OBJECTIF DE L'OUTIL</t>
  </si>
  <si>
    <t>Cet outil permet de créer rapidement un prévisionnel financier complet pour la création d'un cabinet d'expertise comptable.</t>
  </si>
  <si>
    <t>Il génère automatiquement : Bilan, Plan de Financement, Compte de Résultat, Plan de Trésorerie et Synthèse.</t>
  </si>
  <si>
    <t>MODE D'EMPLOI</t>
  </si>
  <si>
    <t>1. Allez dans l'onglet SAISIE</t>
  </si>
  <si>
    <t>2. Remplissez UNIQUEMENT les cellules jaunes avec vos données annuelles</t>
  </si>
  <si>
    <t>3. Les montants sont automatiquement répartis mensuellement (÷12)</t>
  </si>
  <si>
    <t>4. Consultez les onglets de synthèse pour voir vos résultats</t>
  </si>
  <si>
    <t>STRUCTURE DES ONGLETS</t>
  </si>
  <si>
    <t>• SAISIE</t>
  </si>
  <si>
    <t>Saisie simplifiée des données annuelles (POINT D'ENTRÉE)</t>
  </si>
  <si>
    <t>• Synthèse</t>
  </si>
  <si>
    <t>Indicateurs clés agrégés</t>
  </si>
  <si>
    <t>• Bilan</t>
  </si>
  <si>
    <t>Bilan prévisionnel sur 3 ans</t>
  </si>
  <si>
    <t>• Plan de Financement</t>
  </si>
  <si>
    <t>Sources et emplois des fonds</t>
  </si>
  <si>
    <t>• Compte de Résultat</t>
  </si>
  <si>
    <t>Performances prévisionnelles</t>
  </si>
  <si>
    <t>• Plan de trésorerie</t>
  </si>
  <si>
    <t>Flux de trésorerie mensuels</t>
  </si>
  <si>
    <t>Détail mensuel généré automatiquement</t>
  </si>
  <si>
    <t>• Personnel</t>
  </si>
  <si>
    <t>Détail de la masse salariale</t>
  </si>
  <si>
    <t>POINTS D'ATTENTION</t>
  </si>
  <si>
    <t>⚠ Les valeurs par défaut sont des exemples - adaptez-les à votre projet</t>
  </si>
  <si>
    <t>⚠ La répartition mensuelle est linéaire (÷12) - ajustez si nécessaire dans les prévisions mensuelles</t>
  </si>
  <si>
    <t>⚠ Le taux de charges sociales par défaut est de 42% - vérifiez selon votre statut</t>
  </si>
  <si>
    <t>⚠ Le taux d'IS par défaut est de 25% - appliquez le taux réduit PME si éligible (15%)</t>
  </si>
  <si>
    <t>⚠ Les durées d'amortissement doivent respecter les usages comptables</t>
  </si>
  <si>
    <t>CONFORMITÉ PROFESSIONNELLE</t>
  </si>
  <si>
    <t>Cet outil respecte les principes comptables français (PCG) et les normes professionnelles.</t>
  </si>
  <si>
    <t>Les projections doivent être validées par un professionnel avant utilisation auprès des banques ou investisseurs.</t>
  </si>
  <si>
    <t>Outil développé dans le cadre du mémoire d'expertise comptable</t>
  </si>
  <si>
    <t>⚠ HYPOTHÈSE DE RÉPARTITION</t>
  </si>
  <si>
    <t>Le CA et les charges sont répartis linéairement (÷12) par simplification. L'activité réelle d'un cabinet d'EC est saisonnière (bilans jan-avr, creux estival). Le plan de trésorerie mensuel est donc indicatif. Pour une analyse fine, appliquer des coefficients mensuels de saisonnalité.</t>
  </si>
  <si>
    <t>ANNEXE 7 - PRÉVISIONNEL CRÉATION CABINET D'EXPERTISE COMPTABLE</t>
  </si>
  <si>
    <t>Guide de saisie: Remplissez uniquement les cellules jaunes avec vos données annuelles</t>
  </si>
  <si>
    <t>Les montants mensuels seront calculés automatiquement (répartition linéaire sur 12 mois)</t>
  </si>
  <si>
    <t>PARAMÈTRES</t>
  </si>
  <si>
    <t>Année N</t>
  </si>
  <si>
    <t xml:space="preserve">Année N+1 </t>
  </si>
  <si>
    <t xml:space="preserve">Année N+2 </t>
  </si>
  <si>
    <t>Commentaires / Instructions</t>
  </si>
  <si>
    <t>1) BUDGET DES VENTES (Chiffre d'affaires HT)</t>
  </si>
  <si>
    <t>a) Mission Expertise-Comptable</t>
  </si>
  <si>
    <t>Mission principale - Tenue comptabilité, révision, bilan</t>
  </si>
  <si>
    <t>b) Mission CAC (Commissariat aux comptes)</t>
  </si>
  <si>
    <t>Audit légal et missions de certification</t>
  </si>
  <si>
    <t>c) Mission Social (Paie)</t>
  </si>
  <si>
    <t>Établissement des bulletins de paie et DSN</t>
  </si>
  <si>
    <t>d) Mission Juridique</t>
  </si>
  <si>
    <t>Secrétariat juridique, AG, cessions...</t>
  </si>
  <si>
    <t>e) DAF externalisé / Conseil</t>
  </si>
  <si>
    <t>Direction financière externalisée, conseil stratégique</t>
  </si>
  <si>
    <t>TOTAL CHIFFRE D'AFFAIRES</t>
  </si>
  <si>
    <t>2) CHARGES DIRECTES (Coûts production)</t>
  </si>
  <si>
    <t>Logiciels métier (Prod. comptable)</t>
  </si>
  <si>
    <t>Cegid, ACD, Sage, Pennylane, FULLL …</t>
  </si>
  <si>
    <t>Marketing / Publicité</t>
  </si>
  <si>
    <t>Campagnes, sponsoring, événements</t>
  </si>
  <si>
    <t>TOTAL CHARGES DIRECTES</t>
  </si>
  <si>
    <t>3) CHARGES EXTERNES</t>
  </si>
  <si>
    <t>Cotisations Ordre des Experts-Comptables</t>
  </si>
  <si>
    <t>Cotisation annuelle obligatoire</t>
  </si>
  <si>
    <t>Assurances (RCP + autres)</t>
  </si>
  <si>
    <t>Responsabilité civile professionnelle obligatoire</t>
  </si>
  <si>
    <t>Loyers crédit-bail (véhicules...)</t>
  </si>
  <si>
    <t>Leasing voiture, matériel</t>
  </si>
  <si>
    <t>Location bureaux / Coworking</t>
  </si>
  <si>
    <t>Loyer mensuel bureau ou espace coworking</t>
  </si>
  <si>
    <t>Frais de production</t>
  </si>
  <si>
    <t>Fournitures bureau, consommables</t>
  </si>
  <si>
    <t>Honoraires (avocat, expert...)</t>
  </si>
  <si>
    <t>Conseils externes ponctuels</t>
  </si>
  <si>
    <t>Publicité</t>
  </si>
  <si>
    <t>Annonces, Google Ads, réseaux sociaux</t>
  </si>
  <si>
    <t>Frais de déplacement</t>
  </si>
  <si>
    <t>Carburant, transports, parking</t>
  </si>
  <si>
    <t>Frais de missions/réceptions</t>
  </si>
  <si>
    <t>Repas clients, séminaires</t>
  </si>
  <si>
    <t>Divers</t>
  </si>
  <si>
    <t>Autres charges non listées</t>
  </si>
  <si>
    <t>TOTAL CHARGES EXTERNES</t>
  </si>
  <si>
    <t>4) PERSONNEL &amp; RÉMUNÉRATION</t>
  </si>
  <si>
    <t>Rémunération de l'EC (annuelle)</t>
  </si>
  <si>
    <t>Salaire annuel brut du dirigeant TNS ou assimilé salarié</t>
  </si>
  <si>
    <t>Masse salariale collaborateurs (brut)</t>
  </si>
  <si>
    <t>Total brut annuel de tous les salariés</t>
  </si>
  <si>
    <t>Charges sociales estimées (%)</t>
  </si>
  <si>
    <t>En % des salaires bruts (environ 42% si salarié, 45% si TNS)</t>
  </si>
  <si>
    <t>Charges sociales calculées</t>
  </si>
  <si>
    <t>TOTAL CHARGES DE PERSONNEL</t>
  </si>
  <si>
    <t>5) INVESTISSEMENTS (Immobilisations)</t>
  </si>
  <si>
    <t>R&amp;D / Logiciels immobilisés</t>
  </si>
  <si>
    <t>Développement interne, logiciels &gt; 500€</t>
  </si>
  <si>
    <t>Matériel de transport</t>
  </si>
  <si>
    <t>Véhicules achetés (non en crédit-bail)</t>
  </si>
  <si>
    <t>Mobilier et matériel de bureau</t>
  </si>
  <si>
    <t>Bureau, chaises, armoires, écrans...</t>
  </si>
  <si>
    <t>Matériel informatique</t>
  </si>
  <si>
    <t>Serveurs, ordinateurs, imprimantes &gt; 500€</t>
  </si>
  <si>
    <t>Durée d'amortissement moyenne (années)</t>
  </si>
  <si>
    <t>3 ans = logiciels, 5 ans = mobilier, 5-7 ans = véhicules</t>
  </si>
  <si>
    <t>TOTAL INVESTISSEMENTS</t>
  </si>
  <si>
    <t>6) FINANCEMENT</t>
  </si>
  <si>
    <t>Capital social apporté</t>
  </si>
  <si>
    <t>Apport initial en capital</t>
  </si>
  <si>
    <t>Emprunt bancaire contracté</t>
  </si>
  <si>
    <t>Montant total des emprunts</t>
  </si>
  <si>
    <t>Taux d'intérêt annuel emprunt (%)</t>
  </si>
  <si>
    <t>Taux nominal annuel</t>
  </si>
  <si>
    <t>Durée de l'emprunt (années)</t>
  </si>
  <si>
    <t>Nombre d'années de remboursement</t>
  </si>
  <si>
    <t>Remboursement annuel emprunt</t>
  </si>
  <si>
    <t>Intérêts annuels estimés</t>
  </si>
  <si>
    <t>7) PARAMÈTRES COMPLÉMENTAIRES</t>
  </si>
  <si>
    <t>Impôts et taxes (CFE, CVAE...)</t>
  </si>
  <si>
    <t>Cotisation foncière, CVAE si applicable</t>
  </si>
  <si>
    <t>Taux d'IS (%)</t>
  </si>
  <si>
    <t>Autres impôts et taxes</t>
  </si>
  <si>
    <t>Taux charges sociales dirigeant TNS (%)</t>
  </si>
  <si>
    <t>Charges sociales dirigeant TNS</t>
  </si>
  <si>
    <t>TABLEAU DE BORD — INDICATEURS DE PILOTAGE</t>
  </si>
  <si>
    <t>Cabinet d'expertise comptable 100% numérique — Prévisionnel sur 3 ans</t>
  </si>
  <si>
    <t>INDICATEUR</t>
  </si>
  <si>
    <t>Année N (2026)</t>
  </si>
  <si>
    <t>Année N+1 (2027)</t>
  </si>
  <si>
    <t>Année N+2 (2028)</t>
  </si>
  <si>
    <t>1. PERFORMANCE ÉCONOMIQUE</t>
  </si>
  <si>
    <t>Chiffre d'affaires</t>
  </si>
  <si>
    <t>Marge brute</t>
  </si>
  <si>
    <t>Taux de marge brute (%)</t>
  </si>
  <si>
    <t>EBITDA</t>
  </si>
  <si>
    <t>Taux EBITDA (%)</t>
  </si>
  <si>
    <t>Résultat net</t>
  </si>
  <si>
    <t>Taux de marge nette (%)</t>
  </si>
  <si>
    <t>2. SEUIL DE RENTABILITÉ (POINT MORT)</t>
  </si>
  <si>
    <t>Charges fixes annuelles</t>
  </si>
  <si>
    <t>Charges variables (personnel + production)</t>
  </si>
  <si>
    <t>Taux de marge sur coûts variables (%)</t>
  </si>
  <si>
    <t>Point mort (CA seuil de rentabilité)</t>
  </si>
  <si>
    <t>Point mort atteint en mois</t>
  </si>
  <si>
    <t>3. TRÉSORERIE ET SOLIDITÉ FINANCIÈRE</t>
  </si>
  <si>
    <t>Trésorerie fin d'année</t>
  </si>
  <si>
    <t>Plus bas de trésorerie dans l'année</t>
  </si>
  <si>
    <t>Mois de charges couvertes par la trésorerie</t>
  </si>
  <si>
    <t>Fonds propres</t>
  </si>
  <si>
    <t>Ratio d'autonomie financière (%)</t>
  </si>
  <si>
    <t>BFR</t>
  </si>
  <si>
    <t>4. ACTIVITÉ ET CROISSANCE</t>
  </si>
  <si>
    <t>Effectif moyen (ETP)</t>
  </si>
  <si>
    <t>CA moyen par collaborateur</t>
  </si>
  <si>
    <t>Taux de croissance CA (%)</t>
  </si>
  <si>
    <t>CA moyen mensuel</t>
  </si>
  <si>
    <t>5. KPI MÉTIER — CABINET D'EXPERTISE COMPTABLE</t>
  </si>
  <si>
    <t>Objectif clients signés (cumulé)</t>
  </si>
  <si>
    <t>Panier moyen par client (CA / nb clients)</t>
  </si>
  <si>
    <t>Part EC dans CA total (%)</t>
  </si>
  <si>
    <t>Indice de diversification (nb missions &gt;5% CA)</t>
  </si>
  <si>
    <t>SEUILS D'ALERTE (repères)</t>
  </si>
  <si>
    <t xml:space="preserve">  ⚠ Trésorerie &lt; 15 000 € → risque de cessation de paiement</t>
  </si>
  <si>
    <t xml:space="preserve">  ⚠ Mois charges couvertes &lt; 2 → tension critique</t>
  </si>
  <si>
    <t xml:space="preserve">  ⚠ Marge EBITDA &lt; 10% → modèle non viable à terme</t>
  </si>
  <si>
    <t xml:space="preserve">  ⚠ Point mort &gt; 10 mois → croissance trop lente</t>
  </si>
  <si>
    <t xml:space="preserve">  ⚠ Autonomie financière &lt; 30% → dépendance bancaire élevée</t>
  </si>
  <si>
    <t>Note : Les KPI sont calculés automatiquement à partir des données SAISIE et des états financiers.</t>
  </si>
  <si>
    <t>Synthèse agrégats</t>
  </si>
  <si>
    <t>en k€</t>
  </si>
  <si>
    <t>12m</t>
  </si>
  <si>
    <t>Coût direct</t>
  </si>
  <si>
    <t>% marge brute</t>
  </si>
  <si>
    <t>% marge EBITDA</t>
  </si>
  <si>
    <t>EBIT</t>
  </si>
  <si>
    <t>Effectif moyen</t>
  </si>
  <si>
    <t>Plus bas de trésorerie</t>
  </si>
  <si>
    <t>Variation du BFR (N/N-1)</t>
  </si>
  <si>
    <t>Bilan</t>
  </si>
  <si>
    <t>en €</t>
  </si>
  <si>
    <t>Var. BFR</t>
  </si>
  <si>
    <t>Immobilisations incorporelles</t>
  </si>
  <si>
    <t>Immobilisations corporelles</t>
  </si>
  <si>
    <t>Amortissements cumulés</t>
  </si>
  <si>
    <t>Autres immobilisations financières</t>
  </si>
  <si>
    <t>Actif immobilisé</t>
  </si>
  <si>
    <t>Clients</t>
  </si>
  <si>
    <t>Impôt sur les sociétés</t>
  </si>
  <si>
    <t>TVA</t>
  </si>
  <si>
    <t>Trésorerie</t>
  </si>
  <si>
    <t>Charges constatées d'avance</t>
  </si>
  <si>
    <t>Actif circulant</t>
  </si>
  <si>
    <t>TOTAL ACTIF</t>
  </si>
  <si>
    <t>Capital</t>
  </si>
  <si>
    <t>Réserves</t>
  </si>
  <si>
    <t xml:space="preserve">Résultat de l'exercice </t>
  </si>
  <si>
    <t>Provisions réglementées</t>
  </si>
  <si>
    <t>Capitaux propres</t>
  </si>
  <si>
    <t>Emprunts auprès des banques</t>
  </si>
  <si>
    <t>Concours bancaires courants</t>
  </si>
  <si>
    <t>Comptes courants</t>
  </si>
  <si>
    <t>Fournisseurs</t>
  </si>
  <si>
    <t>Fournisseurs immos</t>
  </si>
  <si>
    <t>Dettes sociales</t>
  </si>
  <si>
    <t>Autres dettes sociales et fiscales</t>
  </si>
  <si>
    <t>Autres dettes (avoirs)</t>
  </si>
  <si>
    <t>Produits constatés d'avance</t>
  </si>
  <si>
    <t>Ecart</t>
  </si>
  <si>
    <t>Total des dettes</t>
  </si>
  <si>
    <t>TOTAL PASSIF</t>
  </si>
  <si>
    <t>Ctrl</t>
  </si>
  <si>
    <t>Plan de financement</t>
  </si>
  <si>
    <t>Distribution de dividendes</t>
  </si>
  <si>
    <t>Investissements</t>
  </si>
  <si>
    <t>Var. BFR d'exploitation</t>
  </si>
  <si>
    <t>Remboursement d'emprunts</t>
  </si>
  <si>
    <t>Total des besoins</t>
  </si>
  <si>
    <t>Capacité d'autofinancement</t>
  </si>
  <si>
    <t>Augmentation de capital</t>
  </si>
  <si>
    <t>Nouveaux emprunts</t>
  </si>
  <si>
    <t>Autres</t>
  </si>
  <si>
    <t>Total des ressources</t>
  </si>
  <si>
    <t>Variation de trésorerie</t>
  </si>
  <si>
    <t>Trésorerie fin de période</t>
  </si>
  <si>
    <t>Compte de résultat</t>
  </si>
  <si>
    <t>Revenus</t>
  </si>
  <si>
    <t>Subventions</t>
  </si>
  <si>
    <t>Charges directes</t>
  </si>
  <si>
    <t>Charges externes</t>
  </si>
  <si>
    <t>Soldes de crédit-bail</t>
  </si>
  <si>
    <t>Impôts &amp; taxes</t>
  </si>
  <si>
    <t>Charges de personnel</t>
  </si>
  <si>
    <t>Rémunération gérant</t>
  </si>
  <si>
    <t>Redevances</t>
  </si>
  <si>
    <t>EBITDA en %</t>
  </si>
  <si>
    <t>Dotations aux amortissements</t>
  </si>
  <si>
    <t>Résultat d'exploitation (EBIT)</t>
  </si>
  <si>
    <t>EBIT en %</t>
  </si>
  <si>
    <t>Résultat financier</t>
  </si>
  <si>
    <t>Résultat courant</t>
  </si>
  <si>
    <t>Résultat courant en %</t>
  </si>
  <si>
    <t>Résultat exceptionnel</t>
  </si>
  <si>
    <t>Impôt sur les bénéfices</t>
  </si>
  <si>
    <t>Résultat net en %</t>
  </si>
  <si>
    <t>Plan de trésorerie</t>
  </si>
  <si>
    <t>Date</t>
  </si>
  <si>
    <t>I - Trésorerie initiale</t>
  </si>
  <si>
    <t>II - Recettes</t>
  </si>
  <si>
    <t>Apport en capital</t>
  </si>
  <si>
    <t>Encaissement clients TTC</t>
  </si>
  <si>
    <t>Remboursement crédit TVA</t>
  </si>
  <si>
    <t>Nouveaux crédits bancaires</t>
  </si>
  <si>
    <t>III - Dépenses</t>
  </si>
  <si>
    <t>Remboursement de crédit</t>
  </si>
  <si>
    <t>Charges directes et externes TTC</t>
  </si>
  <si>
    <t>Salaires</t>
  </si>
  <si>
    <t>Charges sociales</t>
  </si>
  <si>
    <t>Charges financières</t>
  </si>
  <si>
    <t>TVA à décaisser</t>
  </si>
  <si>
    <t>IV - Trésorerie finale</t>
  </si>
  <si>
    <t>1) Budget des ventes</t>
  </si>
  <si>
    <t>a) Expertise-comptable</t>
  </si>
  <si>
    <t xml:space="preserve"> </t>
  </si>
  <si>
    <t>b) CAC</t>
  </si>
  <si>
    <t>c) Social</t>
  </si>
  <si>
    <t>d) Juridique</t>
  </si>
  <si>
    <t>e) DAF externalisé</t>
  </si>
  <si>
    <t>2) Budget d'exploitation</t>
  </si>
  <si>
    <t>*PCA n-1</t>
  </si>
  <si>
    <t>Marge directe</t>
  </si>
  <si>
    <t>Logiciels</t>
  </si>
  <si>
    <t>Marketing / PUB / investissement</t>
  </si>
  <si>
    <t>Ordre</t>
  </si>
  <si>
    <t>Assurances</t>
  </si>
  <si>
    <t>Loyers crédit-bail</t>
  </si>
  <si>
    <t>Location bureaux coworking</t>
  </si>
  <si>
    <t>Honoraires</t>
  </si>
  <si>
    <t>Frais missions</t>
  </si>
  <si>
    <t>Rémunération EC</t>
  </si>
  <si>
    <t>Impôts et taxes</t>
  </si>
  <si>
    <t>Dotation amortissements</t>
  </si>
  <si>
    <t>Total des charges</t>
  </si>
  <si>
    <t>Résultat d'exploitation</t>
  </si>
  <si>
    <t>Frais financiers</t>
  </si>
  <si>
    <t xml:space="preserve">Taux rentabilité avant IS </t>
  </si>
  <si>
    <t>Taux de rentabilité net</t>
  </si>
  <si>
    <t>3) Budget d'investissement</t>
  </si>
  <si>
    <t>R&amp;D</t>
  </si>
  <si>
    <t>Matériel &amp; outillage</t>
  </si>
  <si>
    <t>Informatique</t>
  </si>
  <si>
    <t>Mobilier</t>
  </si>
  <si>
    <t>Dépôt loyer (3 mois)</t>
  </si>
  <si>
    <t>Total investissements</t>
  </si>
  <si>
    <t>Amortissements comptables</t>
  </si>
  <si>
    <t>Amortissements fiscaux</t>
  </si>
  <si>
    <t>Amortissements dérogatoires</t>
  </si>
  <si>
    <t>Reprise amortissements dérogatoires</t>
  </si>
  <si>
    <t># acquisitions</t>
  </si>
  <si>
    <t>4) Budget des impôts et taxes</t>
  </si>
  <si>
    <t>CET</t>
  </si>
  <si>
    <t>Taxe foncière</t>
  </si>
  <si>
    <t>Droits d'enregistrement</t>
  </si>
  <si>
    <t>Autres taxes</t>
  </si>
  <si>
    <t>Total des impôts et taxes</t>
  </si>
  <si>
    <t>5) Budget de trésorerie</t>
  </si>
  <si>
    <t>6) Budget de TVA</t>
  </si>
  <si>
    <t>TVA collectée ventes</t>
  </si>
  <si>
    <t>TVA sur immobilisations</t>
  </si>
  <si>
    <t>TVA charges directes et externes</t>
  </si>
  <si>
    <t>Demande remb. Crédit TVA</t>
  </si>
  <si>
    <t>Crédit de TVA m-1</t>
  </si>
  <si>
    <t>Crédit de TVA m</t>
  </si>
  <si>
    <t>TVA à payer</t>
  </si>
  <si>
    <t>TVA collectée bilan (délai facture CA)</t>
  </si>
  <si>
    <t>TVA déductible bilan</t>
  </si>
  <si>
    <t>7) Impôt sur les sociétés et taux CET</t>
  </si>
  <si>
    <t>Déficits reportables</t>
  </si>
  <si>
    <t>Résultat avant impôt</t>
  </si>
  <si>
    <t>Réintégration amortissements dérogatoires</t>
  </si>
  <si>
    <t>Résultat imposable</t>
  </si>
  <si>
    <t>Déficit reportable n+1</t>
  </si>
  <si>
    <t>Taux de la CET</t>
  </si>
  <si>
    <t>8) Crédits bancaires</t>
  </si>
  <si>
    <t>1)</t>
  </si>
  <si>
    <t>Montant</t>
  </si>
  <si>
    <t>Taux</t>
  </si>
  <si>
    <t>Durée</t>
  </si>
  <si>
    <t>N</t>
  </si>
  <si>
    <t>N+1</t>
  </si>
  <si>
    <t>N+2</t>
  </si>
  <si>
    <t>Nominal - Début</t>
  </si>
  <si>
    <t>Total</t>
  </si>
  <si>
    <t>Intérêt</t>
  </si>
  <si>
    <t>Nominal - Fin</t>
  </si>
  <si>
    <t>2)</t>
  </si>
  <si>
    <t>3)</t>
  </si>
  <si>
    <t>Catégorie</t>
  </si>
  <si>
    <t>Poste</t>
  </si>
  <si>
    <t>Date entrée</t>
  </si>
  <si>
    <t>Salaires bruts annuels</t>
  </si>
  <si>
    <t>Nombre de salariés</t>
  </si>
  <si>
    <t>Total brut</t>
  </si>
  <si>
    <t>TOTAL</t>
  </si>
  <si>
    <t>Cadre</t>
  </si>
  <si>
    <t>Hors plan 3 ans</t>
  </si>
  <si>
    <t>Salaires bruts</t>
  </si>
  <si>
    <t>Total effectif</t>
  </si>
  <si>
    <t>Junior</t>
  </si>
  <si>
    <t>Senior</t>
  </si>
  <si>
    <t>Chef de mission</t>
  </si>
  <si>
    <t>Il est destiné à servir de base de travail pour l'expert-comptable souhaitant créer son cabinet.</t>
  </si>
  <si>
    <t>Taux nominal 25%. Le calcul applique automatiquement le taux réduit PME de 15% sur les premiers 42 500 € de bénéfice (art. 219-I-b CGI).</t>
  </si>
  <si>
    <t>• Prévisions mensuelles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</si>
</sst>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&quot; €&quot;"/>
    <numFmt numFmtId="165" formatCode="[$-40C]mmm\-yy;@"/>
    <numFmt numFmtId="166" formatCode="#,##0.0"/>
    <numFmt numFmtId="167" formatCode="m/d/yyyy"/>
    <numFmt numFmtId="168" formatCode="0.0%"/>
    <numFmt numFmtId="169" formatCode="dd/mm/yy"/>
    <numFmt numFmtId="170" formatCode="_-* #,##0.00\ _F_-;\-* #,##0.00\ _F_-;_-* \-??\ _F_-;_-@_-"/>
    <numFmt numFmtId="171" formatCode="[$-40C]mmm\ yyyy"/>
    <numFmt numFmtId="172" formatCode="#,##0\ \€"/>
    <numFmt numFmtId="173" formatCode="0.0"/>
  </numFmts>
  <fonts count="60" x14ac:knownFonts="1">
    <font>
      <sz val="10"/>
      <name val="Arial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20"/>
      <color rgb="FF1F4E79"/>
      <name val="Cambria"/>
      <charset val="1"/>
    </font>
    <font>
      <b/>
      <sz val="14"/>
      <color rgb="FF2E75B6"/>
      <name val="Cambria"/>
      <charset val="1"/>
    </font>
    <font>
      <i/>
      <sz val="12"/>
      <color rgb="FF666666"/>
      <name val="Cambria"/>
      <charset val="1"/>
    </font>
    <font>
      <b/>
      <sz val="12"/>
      <color rgb="FF1F4E79"/>
      <name val="Cambria"/>
      <charset val="1"/>
    </font>
    <font>
      <sz val="11"/>
      <name val="Cambria"/>
      <charset val="1"/>
    </font>
    <font>
      <b/>
      <sz val="11"/>
      <color rgb="FF00B050"/>
      <name val="Cambria"/>
      <charset val="1"/>
    </font>
    <font>
      <i/>
      <sz val="10"/>
      <name val="Cambria"/>
      <charset val="1"/>
    </font>
    <font>
      <b/>
      <sz val="11"/>
      <color rgb="FF2E75B6"/>
      <name val="Cambria"/>
      <charset val="1"/>
    </font>
    <font>
      <b/>
      <sz val="11"/>
      <color rgb="FF666666"/>
      <name val="Cambria"/>
      <charset val="1"/>
    </font>
    <font>
      <sz val="10"/>
      <color rgb="FFC00000"/>
      <name val="Cambria"/>
      <charset val="1"/>
    </font>
    <font>
      <b/>
      <sz val="11"/>
      <color rgb="FFC00000"/>
      <name val="Cambria"/>
      <charset val="1"/>
    </font>
    <font>
      <i/>
      <sz val="10"/>
      <color rgb="FF999999"/>
      <name val="Cambria"/>
      <charset val="1"/>
    </font>
    <font>
      <b/>
      <sz val="16"/>
      <color rgb="FF1F4E79"/>
      <name val="Cambria"/>
      <charset val="1"/>
    </font>
    <font>
      <i/>
      <sz val="10"/>
      <color rgb="FF666666"/>
      <name val="Cambria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b/>
      <sz val="11"/>
      <color rgb="FF0000FF"/>
      <name val="Cambria"/>
      <charset val="1"/>
    </font>
    <font>
      <i/>
      <sz val="9"/>
      <color rgb="FF666666"/>
      <name val="Cambria"/>
      <charset val="1"/>
    </font>
    <font>
      <b/>
      <sz val="11"/>
      <name val="Cambria"/>
      <charset val="1"/>
    </font>
    <font>
      <sz val="10"/>
      <name val="Calibri"/>
      <family val="2"/>
      <charset val="1"/>
    </font>
    <font>
      <i/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10"/>
      <color rgb="FFC00000"/>
      <name val="Calibri"/>
      <family val="2"/>
      <charset val="1"/>
    </font>
    <font>
      <i/>
      <sz val="10"/>
      <color rgb="FF000000"/>
      <name val="Calibri"/>
      <family val="2"/>
      <charset val="1"/>
    </font>
    <font>
      <b/>
      <sz val="13.5"/>
      <name val="Arial"/>
      <charset val="1"/>
    </font>
    <font>
      <b/>
      <sz val="10"/>
      <name val="Arial"/>
      <charset val="1"/>
    </font>
    <font>
      <b/>
      <u/>
      <sz val="10"/>
      <name val="Calibri"/>
      <family val="2"/>
      <charset val="1"/>
    </font>
    <font>
      <sz val="10"/>
      <color theme="0"/>
      <name val="Calibri"/>
      <family val="2"/>
      <charset val="1"/>
    </font>
    <font>
      <b/>
      <i/>
      <sz val="10"/>
      <name val="Calibri"/>
      <family val="2"/>
      <charset val="1"/>
    </font>
    <font>
      <b/>
      <i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i/>
      <sz val="10"/>
      <color theme="0" tint="-0.34998626667073579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u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i/>
      <sz val="9"/>
      <color rgb="FF666666"/>
      <name val="Cambria"/>
      <family val="1"/>
    </font>
    <font>
      <sz val="10"/>
      <color rgb="FFC00000"/>
      <name val="Cambria"/>
      <family val="1"/>
    </font>
    <font>
      <sz val="10"/>
      <name val="Cambria"/>
      <family val="1"/>
    </font>
    <font>
      <b/>
      <sz val="11"/>
      <color rgb="FFFF6600"/>
      <name val="Arial"/>
    </font>
    <font>
      <i/>
      <sz val="9"/>
      <name val="Arial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2E75B6"/>
      <name val="Calibri"/>
    </font>
    <font>
      <sz val="11"/>
      <name val="Calibri"/>
    </font>
    <font>
      <b/>
      <sz val="10"/>
      <color rgb="FFCC0000"/>
      <name val="Calibri"/>
    </font>
    <font>
      <i/>
      <sz val="9"/>
      <color rgb="FFCC0000"/>
      <name val="Calibri"/>
    </font>
    <font>
      <i/>
      <sz val="8"/>
      <color rgb="FF99999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277CBC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2E75B6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277CBC"/>
        <bgColor rgb="FF2E75B6"/>
      </patternFill>
    </fill>
    <fill>
      <patternFill patternType="solid">
        <fgColor rgb="FF1F4E79"/>
        <bgColor rgb="FF1F4E79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7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9" fontId="1" fillId="0" borderId="0"/>
  </cellStyleXfs>
  <cellXfs count="221">
    <xf numFmtId="0" fontId="0" fillId="0" borderId="0" xfId="0"/>
    <xf numFmtId="0" fontId="41" fillId="11" borderId="9" xfId="0" applyFont="1" applyFill="1" applyBorder="1" applyAlignment="1">
      <alignment horizontal="center" vertical="center"/>
    </xf>
    <xf numFmtId="3" fontId="24" fillId="0" borderId="0" xfId="0" applyNumberFormat="1" applyFont="1"/>
    <xf numFmtId="3" fontId="25" fillId="0" borderId="0" xfId="0" applyNumberFormat="1" applyFont="1"/>
    <xf numFmtId="0" fontId="26" fillId="5" borderId="0" xfId="0" applyFont="1" applyFill="1" applyAlignment="1">
      <alignment vertical="center"/>
    </xf>
    <xf numFmtId="0" fontId="26" fillId="5" borderId="0" xfId="0" applyFont="1" applyFill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7" fontId="27" fillId="0" borderId="2" xfId="0" applyNumberFormat="1" applyFont="1" applyBorder="1" applyAlignment="1">
      <alignment horizontal="center" vertical="center"/>
    </xf>
    <xf numFmtId="17" fontId="27" fillId="0" borderId="4" xfId="0" applyNumberFormat="1" applyFont="1" applyBorder="1" applyAlignment="1">
      <alignment horizontal="center" vertical="center"/>
    </xf>
    <xf numFmtId="3" fontId="28" fillId="0" borderId="0" xfId="0" applyNumberFormat="1" applyFont="1"/>
    <xf numFmtId="3" fontId="3" fillId="0" borderId="0" xfId="0" applyNumberFormat="1" applyFont="1"/>
    <xf numFmtId="3" fontId="3" fillId="0" borderId="3" xfId="0" applyNumberFormat="1" applyFont="1" applyBorder="1"/>
    <xf numFmtId="3" fontId="25" fillId="6" borderId="0" xfId="0" applyNumberFormat="1" applyFont="1" applyFill="1"/>
    <xf numFmtId="3" fontId="24" fillId="0" borderId="3" xfId="0" applyNumberFormat="1" applyFont="1" applyBorder="1"/>
    <xf numFmtId="4" fontId="24" fillId="0" borderId="0" xfId="0" applyNumberFormat="1" applyFont="1"/>
    <xf numFmtId="3" fontId="28" fillId="7" borderId="5" xfId="0" applyNumberFormat="1" applyFont="1" applyFill="1" applyBorder="1"/>
    <xf numFmtId="3" fontId="28" fillId="7" borderId="6" xfId="0" applyNumberFormat="1" applyFont="1" applyFill="1" applyBorder="1"/>
    <xf numFmtId="3" fontId="29" fillId="0" borderId="0" xfId="0" applyNumberFormat="1" applyFont="1"/>
    <xf numFmtId="3" fontId="29" fillId="0" borderId="3" xfId="0" applyNumberFormat="1" applyFont="1" applyBorder="1"/>
    <xf numFmtId="3" fontId="3" fillId="0" borderId="2" xfId="0" applyNumberFormat="1" applyFont="1" applyBorder="1"/>
    <xf numFmtId="3" fontId="28" fillId="7" borderId="0" xfId="0" applyNumberFormat="1" applyFont="1" applyFill="1"/>
    <xf numFmtId="3" fontId="29" fillId="6" borderId="7" xfId="0" applyNumberFormat="1" applyFont="1" applyFill="1" applyBorder="1"/>
    <xf numFmtId="3" fontId="29" fillId="6" borderId="8" xfId="0" applyNumberFormat="1" applyFont="1" applyFill="1" applyBorder="1"/>
    <xf numFmtId="166" fontId="29" fillId="0" borderId="0" xfId="0" applyNumberFormat="1" applyFont="1"/>
    <xf numFmtId="3" fontId="30" fillId="0" borderId="0" xfId="0" applyNumberFormat="1" applyFont="1"/>
    <xf numFmtId="166" fontId="30" fillId="0" borderId="0" xfId="0" applyNumberFormat="1" applyFont="1"/>
    <xf numFmtId="3" fontId="31" fillId="0" borderId="0" xfId="0" applyNumberFormat="1" applyFont="1"/>
    <xf numFmtId="0" fontId="3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3" fontId="34" fillId="0" borderId="0" xfId="0" applyNumberFormat="1" applyFont="1"/>
    <xf numFmtId="3" fontId="35" fillId="0" borderId="0" xfId="0" applyNumberFormat="1" applyFont="1"/>
    <xf numFmtId="3" fontId="26" fillId="0" borderId="0" xfId="0" applyNumberFormat="1" applyFont="1"/>
    <xf numFmtId="165" fontId="27" fillId="0" borderId="4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166" fontId="24" fillId="0" borderId="0" xfId="0" applyNumberFormat="1" applyFont="1"/>
    <xf numFmtId="3" fontId="28" fillId="6" borderId="5" xfId="0" applyNumberFormat="1" applyFont="1" applyFill="1" applyBorder="1"/>
    <xf numFmtId="3" fontId="28" fillId="7" borderId="2" xfId="0" applyNumberFormat="1" applyFont="1" applyFill="1" applyBorder="1"/>
    <xf numFmtId="3" fontId="36" fillId="0" borderId="0" xfId="0" applyNumberFormat="1" applyFont="1"/>
    <xf numFmtId="3" fontId="37" fillId="0" borderId="0" xfId="0" applyNumberFormat="1" applyFont="1"/>
    <xf numFmtId="167" fontId="24" fillId="0" borderId="0" xfId="0" applyNumberFormat="1" applyFont="1"/>
    <xf numFmtId="3" fontId="24" fillId="0" borderId="0" xfId="0" applyNumberFormat="1" applyFont="1" applyAlignment="1">
      <alignment horizontal="center"/>
    </xf>
    <xf numFmtId="3" fontId="24" fillId="0" borderId="3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right"/>
    </xf>
    <xf numFmtId="9" fontId="24" fillId="0" borderId="0" xfId="0" applyNumberFormat="1" applyFont="1"/>
    <xf numFmtId="3" fontId="28" fillId="0" borderId="0" xfId="0" applyNumberFormat="1" applyFont="1" applyAlignment="1">
      <alignment horizontal="right"/>
    </xf>
    <xf numFmtId="3" fontId="28" fillId="0" borderId="3" xfId="0" applyNumberFormat="1" applyFont="1" applyBorder="1" applyAlignment="1">
      <alignment horizontal="right"/>
    </xf>
    <xf numFmtId="3" fontId="38" fillId="0" borderId="0" xfId="0" applyNumberFormat="1" applyFont="1"/>
    <xf numFmtId="3" fontId="25" fillId="0" borderId="0" xfId="0" applyNumberFormat="1" applyFont="1" applyAlignment="1">
      <alignment horizontal="left" indent="1"/>
    </xf>
    <xf numFmtId="3" fontId="25" fillId="0" borderId="0" xfId="0" applyNumberFormat="1" applyFont="1" applyAlignment="1">
      <alignment horizontal="right"/>
    </xf>
    <xf numFmtId="3" fontId="25" fillId="0" borderId="3" xfId="0" applyNumberFormat="1" applyFont="1" applyBorder="1" applyAlignment="1">
      <alignment horizontal="right"/>
    </xf>
    <xf numFmtId="3" fontId="28" fillId="6" borderId="5" xfId="0" applyNumberFormat="1" applyFont="1" applyFill="1" applyBorder="1" applyAlignment="1">
      <alignment horizontal="right"/>
    </xf>
    <xf numFmtId="3" fontId="28" fillId="6" borderId="6" xfId="0" applyNumberFormat="1" applyFont="1" applyFill="1" applyBorder="1" applyAlignment="1">
      <alignment horizontal="right"/>
    </xf>
    <xf numFmtId="168" fontId="25" fillId="0" borderId="0" xfId="0" applyNumberFormat="1" applyFont="1"/>
    <xf numFmtId="168" fontId="36" fillId="6" borderId="2" xfId="0" applyNumberFormat="1" applyFont="1" applyFill="1" applyBorder="1"/>
    <xf numFmtId="168" fontId="36" fillId="6" borderId="2" xfId="0" applyNumberFormat="1" applyFont="1" applyFill="1" applyBorder="1" applyAlignment="1">
      <alignment horizontal="right"/>
    </xf>
    <xf numFmtId="168" fontId="36" fillId="6" borderId="4" xfId="0" applyNumberFormat="1" applyFont="1" applyFill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4" fillId="0" borderId="3" xfId="0" applyNumberFormat="1" applyFont="1" applyBorder="1" applyAlignment="1">
      <alignment horizontal="right"/>
    </xf>
    <xf numFmtId="3" fontId="28" fillId="7" borderId="5" xfId="0" applyNumberFormat="1" applyFont="1" applyFill="1" applyBorder="1" applyAlignment="1">
      <alignment horizontal="right"/>
    </xf>
    <xf numFmtId="3" fontId="28" fillId="7" borderId="6" xfId="0" applyNumberFormat="1" applyFont="1" applyFill="1" applyBorder="1" applyAlignment="1">
      <alignment horizontal="right"/>
    </xf>
    <xf numFmtId="3" fontId="36" fillId="7" borderId="2" xfId="0" applyNumberFormat="1" applyFont="1" applyFill="1" applyBorder="1"/>
    <xf numFmtId="168" fontId="36" fillId="7" borderId="2" xfId="0" applyNumberFormat="1" applyFont="1" applyFill="1" applyBorder="1" applyAlignment="1">
      <alignment horizontal="right"/>
    </xf>
    <xf numFmtId="168" fontId="36" fillId="7" borderId="4" xfId="0" applyNumberFormat="1" applyFont="1" applyFill="1" applyBorder="1" applyAlignment="1">
      <alignment horizontal="right"/>
    </xf>
    <xf numFmtId="168" fontId="36" fillId="0" borderId="0" xfId="0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166" fontId="30" fillId="0" borderId="0" xfId="0" applyNumberFormat="1" applyFont="1" applyAlignment="1">
      <alignment horizontal="right"/>
    </xf>
    <xf numFmtId="166" fontId="24" fillId="8" borderId="0" xfId="0" applyNumberFormat="1" applyFont="1" applyFill="1"/>
    <xf numFmtId="166" fontId="34" fillId="8" borderId="0" xfId="0" applyNumberFormat="1" applyFont="1" applyFill="1"/>
    <xf numFmtId="3" fontId="28" fillId="8" borderId="0" xfId="0" applyNumberFormat="1" applyFont="1" applyFill="1"/>
    <xf numFmtId="166" fontId="28" fillId="8" borderId="0" xfId="0" applyNumberFormat="1" applyFont="1" applyFill="1"/>
    <xf numFmtId="3" fontId="24" fillId="8" borderId="0" xfId="0" applyNumberFormat="1" applyFont="1" applyFill="1"/>
    <xf numFmtId="166" fontId="28" fillId="8" borderId="0" xfId="0" applyNumberFormat="1" applyFont="1" applyFill="1" applyAlignment="1">
      <alignment vertical="center"/>
    </xf>
    <xf numFmtId="165" fontId="28" fillId="8" borderId="1" xfId="0" applyNumberFormat="1" applyFont="1" applyFill="1" applyBorder="1" applyAlignment="1">
      <alignment horizontal="center" vertical="center"/>
    </xf>
    <xf numFmtId="3" fontId="28" fillId="7" borderId="1" xfId="0" applyNumberFormat="1" applyFont="1" applyFill="1" applyBorder="1"/>
    <xf numFmtId="3" fontId="28" fillId="0" borderId="1" xfId="0" applyNumberFormat="1" applyFont="1" applyBorder="1"/>
    <xf numFmtId="166" fontId="28" fillId="9" borderId="1" xfId="0" applyNumberFormat="1" applyFont="1" applyFill="1" applyBorder="1"/>
    <xf numFmtId="3" fontId="28" fillId="9" borderId="1" xfId="0" applyNumberFormat="1" applyFont="1" applyFill="1" applyBorder="1"/>
    <xf numFmtId="3" fontId="24" fillId="8" borderId="1" xfId="0" applyNumberFormat="1" applyFont="1" applyFill="1" applyBorder="1"/>
    <xf numFmtId="3" fontId="24" fillId="7" borderId="1" xfId="0" applyNumberFormat="1" applyFont="1" applyFill="1" applyBorder="1"/>
    <xf numFmtId="3" fontId="24" fillId="0" borderId="1" xfId="0" applyNumberFormat="1" applyFont="1" applyBorder="1"/>
    <xf numFmtId="9" fontId="25" fillId="0" borderId="0" xfId="0" applyNumberFormat="1" applyFont="1"/>
    <xf numFmtId="3" fontId="24" fillId="0" borderId="2" xfId="0" applyNumberFormat="1" applyFont="1" applyBorder="1"/>
    <xf numFmtId="169" fontId="39" fillId="0" borderId="0" xfId="0" applyNumberFormat="1" applyFont="1"/>
    <xf numFmtId="166" fontId="28" fillId="8" borderId="0" xfId="0" applyNumberFormat="1" applyFont="1" applyFill="1" applyAlignment="1">
      <alignment horizontal="left" indent="1"/>
    </xf>
    <xf numFmtId="4" fontId="24" fillId="8" borderId="0" xfId="0" applyNumberFormat="1" applyFont="1" applyFill="1"/>
    <xf numFmtId="166" fontId="40" fillId="0" borderId="0" xfId="0" applyNumberFormat="1" applyFont="1"/>
    <xf numFmtId="9" fontId="24" fillId="8" borderId="0" xfId="0" applyNumberFormat="1" applyFont="1" applyFill="1"/>
    <xf numFmtId="9" fontId="28" fillId="8" borderId="0" xfId="0" applyNumberFormat="1" applyFont="1" applyFill="1"/>
    <xf numFmtId="166" fontId="24" fillId="8" borderId="1" xfId="0" applyNumberFormat="1" applyFont="1" applyFill="1" applyBorder="1"/>
    <xf numFmtId="166" fontId="28" fillId="7" borderId="1" xfId="0" applyNumberFormat="1" applyFont="1" applyFill="1" applyBorder="1"/>
    <xf numFmtId="170" fontId="36" fillId="8" borderId="0" xfId="0" applyNumberFormat="1" applyFont="1" applyFill="1"/>
    <xf numFmtId="9" fontId="36" fillId="8" borderId="0" xfId="0" applyNumberFormat="1" applyFont="1" applyFill="1"/>
    <xf numFmtId="3" fontId="38" fillId="8" borderId="0" xfId="0" applyNumberFormat="1" applyFont="1" applyFill="1"/>
    <xf numFmtId="3" fontId="28" fillId="10" borderId="1" xfId="0" applyNumberFormat="1" applyFont="1" applyFill="1" applyBorder="1"/>
    <xf numFmtId="166" fontId="36" fillId="8" borderId="0" xfId="0" applyNumberFormat="1" applyFont="1" applyFill="1"/>
    <xf numFmtId="166" fontId="36" fillId="7" borderId="1" xfId="0" applyNumberFormat="1" applyFont="1" applyFill="1" applyBorder="1"/>
    <xf numFmtId="9" fontId="36" fillId="7" borderId="1" xfId="0" applyNumberFormat="1" applyFont="1" applyFill="1" applyBorder="1"/>
    <xf numFmtId="9" fontId="36" fillId="7" borderId="1" xfId="0" applyNumberFormat="1" applyFont="1" applyFill="1" applyBorder="1" applyAlignment="1">
      <alignment horizontal="right"/>
    </xf>
    <xf numFmtId="9" fontId="25" fillId="8" borderId="0" xfId="0" applyNumberFormat="1" applyFont="1" applyFill="1"/>
    <xf numFmtId="166" fontId="25" fillId="8" borderId="0" xfId="0" applyNumberFormat="1" applyFont="1" applyFill="1"/>
    <xf numFmtId="3" fontId="36" fillId="8" borderId="0" xfId="0" applyNumberFormat="1" applyFont="1" applyFill="1"/>
    <xf numFmtId="3" fontId="28" fillId="8" borderId="1" xfId="0" applyNumberFormat="1" applyFont="1" applyFill="1" applyBorder="1"/>
    <xf numFmtId="166" fontId="24" fillId="0" borderId="1" xfId="0" applyNumberFormat="1" applyFont="1" applyBorder="1"/>
    <xf numFmtId="166" fontId="28" fillId="0" borderId="0" xfId="0" applyNumberFormat="1" applyFont="1"/>
    <xf numFmtId="166" fontId="28" fillId="0" borderId="1" xfId="0" applyNumberFormat="1" applyFont="1" applyBorder="1"/>
    <xf numFmtId="166" fontId="34" fillId="0" borderId="0" xfId="0" applyNumberFormat="1" applyFont="1"/>
    <xf numFmtId="166" fontId="28" fillId="0" borderId="0" xfId="0" applyNumberFormat="1" applyFont="1" applyAlignment="1">
      <alignment horizontal="center"/>
    </xf>
    <xf numFmtId="168" fontId="24" fillId="8" borderId="1" xfId="0" applyNumberFormat="1" applyFont="1" applyFill="1" applyBorder="1"/>
    <xf numFmtId="168" fontId="24" fillId="0" borderId="1" xfId="0" applyNumberFormat="1" applyFont="1" applyBorder="1"/>
    <xf numFmtId="3" fontId="27" fillId="0" borderId="0" xfId="0" applyNumberFormat="1" applyFont="1"/>
    <xf numFmtId="3" fontId="28" fillId="7" borderId="1" xfId="0" applyNumberFormat="1" applyFont="1" applyFill="1" applyBorder="1" applyAlignment="1">
      <alignment horizontal="center" vertical="center" wrapText="1"/>
    </xf>
    <xf numFmtId="3" fontId="28" fillId="8" borderId="1" xfId="0" applyNumberFormat="1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left" indent="1"/>
    </xf>
    <xf numFmtId="3" fontId="24" fillId="0" borderId="1" xfId="0" applyNumberFormat="1" applyFont="1" applyBorder="1" applyAlignment="1">
      <alignment horizontal="left" indent="1"/>
    </xf>
    <xf numFmtId="3" fontId="24" fillId="7" borderId="1" xfId="0" applyNumberFormat="1" applyFont="1" applyFill="1" applyBorder="1" applyAlignment="1">
      <alignment horizontal="left" indent="1"/>
    </xf>
    <xf numFmtId="3" fontId="24" fillId="0" borderId="0" xfId="0" applyNumberFormat="1" applyFont="1" applyAlignment="1">
      <alignment horizontal="left" indent="1"/>
    </xf>
    <xf numFmtId="3" fontId="28" fillId="9" borderId="1" xfId="0" applyNumberFormat="1" applyFont="1" applyFill="1" applyBorder="1" applyAlignment="1">
      <alignment horizontal="left" indent="1"/>
    </xf>
    <xf numFmtId="3" fontId="24" fillId="8" borderId="0" xfId="0" applyNumberFormat="1" applyFont="1" applyFill="1" applyAlignment="1">
      <alignment horizontal="left" indent="1"/>
    </xf>
    <xf numFmtId="3" fontId="27" fillId="0" borderId="0" xfId="0" applyNumberFormat="1" applyFont="1" applyAlignment="1">
      <alignment horizontal="left" indent="1"/>
    </xf>
    <xf numFmtId="3" fontId="28" fillId="0" borderId="0" xfId="0" applyNumberFormat="1" applyFont="1" applyAlignment="1">
      <alignment horizontal="left" indent="1"/>
    </xf>
    <xf numFmtId="3" fontId="28" fillId="7" borderId="1" xfId="0" applyNumberFormat="1" applyFont="1" applyFill="1" applyBorder="1" applyAlignment="1">
      <alignment horizontal="left" vertical="center" wrapText="1" indent="1"/>
    </xf>
    <xf numFmtId="3" fontId="28" fillId="8" borderId="1" xfId="0" applyNumberFormat="1" applyFont="1" applyFill="1" applyBorder="1" applyAlignment="1">
      <alignment horizontal="left" vertical="center" wrapText="1" indent="1"/>
    </xf>
    <xf numFmtId="166" fontId="24" fillId="7" borderId="1" xfId="0" applyNumberFormat="1" applyFont="1" applyFill="1" applyBorder="1"/>
    <xf numFmtId="4" fontId="24" fillId="0" borderId="1" xfId="0" applyNumberFormat="1" applyFont="1" applyBorder="1"/>
    <xf numFmtId="0" fontId="24" fillId="0" borderId="0" xfId="0" applyFont="1"/>
    <xf numFmtId="171" fontId="42" fillId="11" borderId="9" xfId="0" applyNumberFormat="1" applyFont="1" applyFill="1" applyBorder="1" applyAlignment="1">
      <alignment horizontal="center" vertical="center"/>
    </xf>
    <xf numFmtId="167" fontId="43" fillId="0" borderId="10" xfId="0" applyNumberFormat="1" applyFont="1" applyBorder="1" applyAlignment="1">
      <alignment horizontal="left"/>
    </xf>
    <xf numFmtId="3" fontId="44" fillId="6" borderId="10" xfId="0" applyNumberFormat="1" applyFont="1" applyFill="1" applyBorder="1" applyAlignment="1">
      <alignment horizontal="center"/>
    </xf>
    <xf numFmtId="1" fontId="43" fillId="0" borderId="10" xfId="0" applyNumberFormat="1" applyFont="1" applyBorder="1" applyAlignment="1">
      <alignment horizontal="center"/>
    </xf>
    <xf numFmtId="3" fontId="44" fillId="0" borderId="10" xfId="0" applyNumberFormat="1" applyFont="1" applyBorder="1" applyAlignment="1">
      <alignment horizontal="center"/>
    </xf>
    <xf numFmtId="167" fontId="43" fillId="0" borderId="1" xfId="0" applyNumberFormat="1" applyFont="1" applyBorder="1" applyAlignment="1">
      <alignment horizontal="left"/>
    </xf>
    <xf numFmtId="3" fontId="44" fillId="6" borderId="1" xfId="0" applyNumberFormat="1" applyFont="1" applyFill="1" applyBorder="1" applyAlignment="1">
      <alignment horizontal="center"/>
    </xf>
    <xf numFmtId="3" fontId="43" fillId="0" borderId="1" xfId="0" applyNumberFormat="1" applyFont="1" applyBorder="1" applyAlignment="1">
      <alignment horizontal="center"/>
    </xf>
    <xf numFmtId="3" fontId="44" fillId="0" borderId="1" xfId="0" applyNumberFormat="1" applyFont="1" applyBorder="1" applyAlignment="1">
      <alignment horizontal="center"/>
    </xf>
    <xf numFmtId="3" fontId="0" fillId="0" borderId="0" xfId="0" applyNumberFormat="1"/>
    <xf numFmtId="167" fontId="44" fillId="0" borderId="1" xfId="0" applyNumberFormat="1" applyFont="1" applyBorder="1" applyAlignment="1">
      <alignment horizontal="center"/>
    </xf>
    <xf numFmtId="0" fontId="43" fillId="0" borderId="11" xfId="0" applyFont="1" applyBorder="1"/>
    <xf numFmtId="167" fontId="43" fillId="0" borderId="11" xfId="0" applyNumberFormat="1" applyFont="1" applyBorder="1"/>
    <xf numFmtId="3" fontId="43" fillId="0" borderId="11" xfId="0" applyNumberFormat="1" applyFont="1" applyBorder="1"/>
    <xf numFmtId="0" fontId="43" fillId="0" borderId="0" xfId="0" applyFont="1"/>
    <xf numFmtId="167" fontId="43" fillId="0" borderId="0" xfId="0" applyNumberFormat="1" applyFont="1"/>
    <xf numFmtId="3" fontId="43" fillId="0" borderId="0" xfId="0" applyNumberFormat="1" applyFont="1"/>
    <xf numFmtId="1" fontId="43" fillId="0" borderId="0" xfId="0" applyNumberFormat="1" applyFont="1"/>
    <xf numFmtId="3" fontId="45" fillId="0" borderId="0" xfId="0" applyNumberFormat="1" applyFont="1"/>
    <xf numFmtId="3" fontId="46" fillId="0" borderId="0" xfId="0" applyNumberFormat="1" applyFont="1"/>
    <xf numFmtId="14" fontId="28" fillId="8" borderId="1" xfId="0" applyNumberFormat="1" applyFont="1" applyFill="1" applyBorder="1" applyAlignment="1">
      <alignment horizontal="center" vertical="center"/>
    </xf>
    <xf numFmtId="14" fontId="43" fillId="0" borderId="10" xfId="0" applyNumberFormat="1" applyFont="1" applyBorder="1" applyAlignment="1">
      <alignment horizontal="left"/>
    </xf>
    <xf numFmtId="14" fontId="43" fillId="0" borderId="1" xfId="0" applyNumberFormat="1" applyFont="1" applyBorder="1" applyAlignment="1">
      <alignment horizontal="left"/>
    </xf>
    <xf numFmtId="14" fontId="44" fillId="0" borderId="1" xfId="0" applyNumberFormat="1" applyFont="1" applyBorder="1" applyAlignment="1">
      <alignment horizontal="center"/>
    </xf>
    <xf numFmtId="14" fontId="43" fillId="0" borderId="11" xfId="0" applyNumberFormat="1" applyFont="1" applyBorder="1"/>
    <xf numFmtId="14" fontId="43" fillId="0" borderId="0" xfId="0" applyNumberFormat="1" applyFont="1"/>
    <xf numFmtId="14" fontId="24" fillId="0" borderId="0" xfId="0" applyNumberFormat="1" applyFont="1"/>
    <xf numFmtId="0" fontId="0" fillId="0" borderId="0" xfId="0" applyAlignment="1">
      <alignment horizontal="left"/>
    </xf>
    <xf numFmtId="0" fontId="18" fillId="2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164" fontId="21" fillId="4" borderId="1" xfId="0" applyNumberFormat="1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164" fontId="23" fillId="0" borderId="1" xfId="0" applyNumberFormat="1" applyFont="1" applyBorder="1" applyAlignment="1">
      <alignment horizontal="left"/>
    </xf>
    <xf numFmtId="0" fontId="47" fillId="0" borderId="0" xfId="0" applyFont="1" applyAlignment="1">
      <alignment horizontal="left"/>
    </xf>
    <xf numFmtId="0" fontId="49" fillId="0" borderId="1" xfId="0" applyFont="1" applyBorder="1" applyAlignment="1">
      <alignment horizontal="left"/>
    </xf>
    <xf numFmtId="9" fontId="21" fillId="4" borderId="1" xfId="0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10" fontId="21" fillId="4" borderId="1" xfId="0" applyNumberFormat="1" applyFont="1" applyFill="1" applyBorder="1" applyAlignment="1">
      <alignment horizontal="left"/>
    </xf>
    <xf numFmtId="1" fontId="21" fillId="4" borderId="1" xfId="0" applyNumberFormat="1" applyFont="1" applyFill="1" applyBorder="1" applyAlignment="1">
      <alignment horizontal="left"/>
    </xf>
    <xf numFmtId="0" fontId="20" fillId="0" borderId="0" xfId="0" applyFont="1" applyAlignment="1">
      <alignment horizontal="left"/>
    </xf>
    <xf numFmtId="9" fontId="21" fillId="4" borderId="0" xfId="0" applyNumberFormat="1" applyFont="1" applyFill="1" applyAlignment="1">
      <alignment horizontal="left"/>
    </xf>
    <xf numFmtId="3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54" fillId="12" borderId="15" xfId="0" applyFont="1" applyFill="1" applyBorder="1" applyAlignment="1">
      <alignment horizontal="left"/>
    </xf>
    <xf numFmtId="0" fontId="55" fillId="0" borderId="0" xfId="0" applyFont="1" applyAlignment="1">
      <alignment horizontal="left"/>
    </xf>
    <xf numFmtId="0" fontId="56" fillId="0" borderId="15" xfId="0" applyFont="1" applyBorder="1" applyAlignment="1">
      <alignment horizontal="left"/>
    </xf>
    <xf numFmtId="172" fontId="56" fillId="0" borderId="15" xfId="0" applyNumberFormat="1" applyFont="1" applyBorder="1" applyAlignment="1">
      <alignment horizontal="left"/>
    </xf>
    <xf numFmtId="168" fontId="56" fillId="0" borderId="15" xfId="0" applyNumberFormat="1" applyFont="1" applyBorder="1" applyAlignment="1">
      <alignment horizontal="left"/>
    </xf>
    <xf numFmtId="173" fontId="56" fillId="0" borderId="15" xfId="0" applyNumberFormat="1" applyFont="1" applyBorder="1" applyAlignment="1">
      <alignment horizontal="left"/>
    </xf>
    <xf numFmtId="1" fontId="56" fillId="0" borderId="15" xfId="0" applyNumberFormat="1" applyFont="1" applyBorder="1" applyAlignment="1">
      <alignment horizontal="left"/>
    </xf>
    <xf numFmtId="49" fontId="56" fillId="0" borderId="15" xfId="0" applyNumberFormat="1" applyFont="1" applyBorder="1" applyAlignment="1">
      <alignment horizontal="left"/>
    </xf>
    <xf numFmtId="0" fontId="57" fillId="0" borderId="0" xfId="0" applyFont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5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9" fillId="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27" fillId="0" borderId="2" xfId="0" applyFont="1" applyBorder="1" applyAlignment="1">
      <alignment horizontal="center" vertical="center"/>
    </xf>
    <xf numFmtId="0" fontId="0" fillId="0" borderId="2" xfId="0" applyBorder="1"/>
    <xf numFmtId="167" fontId="41" fillId="11" borderId="9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41" fillId="11" borderId="9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3" fontId="41" fillId="11" borderId="9" xfId="0" applyNumberFormat="1" applyFont="1" applyFill="1" applyBorder="1" applyAlignment="1">
      <alignment horizontal="center" wrapText="1"/>
    </xf>
    <xf numFmtId="14" fontId="41" fillId="11" borderId="9" xfId="0" applyNumberFormat="1" applyFont="1" applyFill="1" applyBorder="1" applyAlignment="1">
      <alignment horizontal="center" vertical="center"/>
    </xf>
    <xf numFmtId="14" fontId="0" fillId="0" borderId="12" xfId="0" applyNumberFormat="1" applyBorder="1"/>
    <xf numFmtId="14" fontId="0" fillId="0" borderId="11" xfId="0" applyNumberFormat="1" applyBorder="1"/>
  </cellXfs>
  <cellStyles count="8">
    <cellStyle name="Milliers 2" xfId="1" xr:uid="{00000000-0005-0000-0000-000001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Pourcentage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666666"/>
      <rgbColor rgb="FF800080"/>
      <rgbColor rgb="FF4F81BD"/>
      <rgbColor rgb="FFB3B3B3"/>
      <rgbColor rgb="FF7F7F7F"/>
      <rgbColor rgb="FFA6A6A6"/>
      <rgbColor rgb="FFC0504D"/>
      <rgbColor rgb="FFEBF1DE"/>
      <rgbColor rgb="FFDCE6F2"/>
      <rgbColor rgb="FF660066"/>
      <rgbColor rgb="FFFF8080"/>
      <rgbColor rgb="FF277CB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ADA"/>
      <rgbColor rgb="FF99CCFF"/>
      <rgbColor rgb="FFFF99CC"/>
      <rgbColor rgb="FF878787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999999"/>
      <rgbColor rgb="FF003366"/>
      <rgbColor rgb="FF00B050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Marge directe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Synthèse!$B$6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Synthèse!$C$3:$E$4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Synthèse!$C$6:$E$6</c:f>
              <c:numCache>
                <c:formatCode>#,##0</c:formatCode>
                <c:ptCount val="3"/>
                <c:pt idx="0">
                  <c:v>113000</c:v>
                </c:pt>
                <c:pt idx="1">
                  <c:v>248000</c:v>
                </c:pt>
                <c:pt idx="2">
                  <c:v>417000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F-468F-A39D-87D6273C0C9D}"/>
            </c:ext>
          </c:extLst>
        </c:ser>
        <c:ser>
          <c:idx val="1"/>
          <c:order val="1"/>
          <c:tx>
            <c:strRef>
              <c:f>Synthèse!$B$7</c:f>
              <c:strCache>
                <c:ptCount val="1"/>
                <c:pt idx="0">
                  <c:v>Coût direct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Synthèse!$C$3:$E$4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Synthèse!$C$7:$E$7</c:f>
              <c:numCache>
                <c:formatCode>#,##0</c:formatCode>
                <c:ptCount val="3"/>
                <c:pt idx="0">
                  <c:v>51000</c:v>
                </c:pt>
                <c:pt idx="1">
                  <c:v>114048</c:v>
                </c:pt>
                <c:pt idx="2">
                  <c:v>190728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F-468F-A39D-87D6273C0C9D}"/>
            </c:ext>
          </c:extLst>
        </c:ser>
        <c:ser>
          <c:idx val="2"/>
          <c:order val="2"/>
          <c:tx>
            <c:strRef>
              <c:f>Synthèse!$B$8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Synthèse!$C$3:$E$4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Synthèse!$C$8:$E$8</c:f>
              <c:numCache>
                <c:formatCode>#,##0</c:formatCode>
                <c:ptCount val="3"/>
                <c:pt idx="0">
                  <c:v>62000</c:v>
                </c:pt>
                <c:pt idx="1">
                  <c:v>133952</c:v>
                </c:pt>
                <c:pt idx="2">
                  <c:v>226272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F-468F-A39D-87D6273C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1230"/>
        <c:axId val="91751407"/>
      </c:barChart>
      <c:lineChart>
        <c:grouping val="standard"/>
        <c:varyColors val="0"/>
        <c:ser>
          <c:idx val="3"/>
          <c:order val="3"/>
          <c:tx>
            <c:strRef>
              <c:f>Synthèse!$B$9</c:f>
              <c:strCache>
                <c:ptCount val="1"/>
                <c:pt idx="0">
                  <c:v>% marge brute</c:v>
                </c:pt>
              </c:strCache>
            </c:strRef>
          </c:tx>
          <c:spPr>
            <a:ln w="28440" cap="rnd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Synthèse!$C$3:$E$4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Synthèse!$C$9:$E$9</c:f>
              <c:numCache>
                <c:formatCode>0%</c:formatCode>
                <c:ptCount val="3"/>
                <c:pt idx="0">
                  <c:v>0.54867256637168138</c:v>
                </c:pt>
                <c:pt idx="1">
                  <c:v>0.54012903225806452</c:v>
                </c:pt>
                <c:pt idx="2">
                  <c:v>0.5426187050359712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6F-468F-A39D-87D6273C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8960020"/>
        <c:axId val="78434814"/>
      </c:lineChart>
      <c:catAx>
        <c:axId val="69221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91751407"/>
        <c:crosses val="autoZero"/>
        <c:auto val="1"/>
        <c:lblAlgn val="ctr"/>
        <c:lblOffset val="100"/>
        <c:noMultiLvlLbl val="0"/>
      </c:catAx>
      <c:valAx>
        <c:axId val="917514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69221230"/>
        <c:crosses val="autoZero"/>
        <c:crossBetween val="between"/>
      </c:valAx>
      <c:catAx>
        <c:axId val="289600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34814"/>
        <c:crosses val="autoZero"/>
        <c:auto val="1"/>
        <c:lblAlgn val="ctr"/>
        <c:lblOffset val="100"/>
        <c:noMultiLvlLbl val="0"/>
      </c:catAx>
      <c:valAx>
        <c:axId val="7843481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28960020"/>
        <c:crosses val="max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Plan de financement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'Plan de Financement'!$B$19</c:f>
              <c:strCache>
                <c:ptCount val="1"/>
                <c:pt idx="0">
                  <c:v>Trésorerie fin de période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'Plan de Financement'!$C$3:$F$4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'Plan de Financement'!$C$19:$F$19</c:f>
              <c:numCache>
                <c:formatCode>#,##0</c:formatCode>
                <c:ptCount val="3"/>
                <c:pt idx="0">
                  <c:v>31630.156766916465</c:v>
                </c:pt>
                <c:pt idx="1">
                  <c:v>72051.139702650136</c:v>
                </c:pt>
                <c:pt idx="2">
                  <c:v>137165.29479682446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E-4F57-A5FB-25D77EB28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521162"/>
        <c:axId val="16734124"/>
      </c:lineChart>
      <c:catAx>
        <c:axId val="735211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16734124"/>
        <c:crosses val="autoZero"/>
        <c:auto val="1"/>
        <c:lblAlgn val="ctr"/>
        <c:lblOffset val="100"/>
        <c:noMultiLvlLbl val="0"/>
      </c:catAx>
      <c:valAx>
        <c:axId val="167341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7352116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CA &amp; EBITDA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'Compte de Résultat'!$B$7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'Compte de Résultat'!$C$3:$F$4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'Compte de Résultat'!$C$7:$F$7</c:f>
              <c:numCache>
                <c:formatCode>#,##0</c:formatCode>
                <c:ptCount val="3"/>
                <c:pt idx="0">
                  <c:v>113000</c:v>
                </c:pt>
                <c:pt idx="1">
                  <c:v>248000</c:v>
                </c:pt>
                <c:pt idx="2">
                  <c:v>417000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5-4854-AB02-BFC0952E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79988"/>
        <c:axId val="31428840"/>
      </c:barChart>
      <c:lineChart>
        <c:grouping val="standard"/>
        <c:varyColors val="0"/>
        <c:ser>
          <c:idx val="1"/>
          <c:order val="1"/>
          <c:tx>
            <c:strRef>
              <c:f>'Compte de Résultat'!$B$18</c:f>
              <c:strCache>
                <c:ptCount val="1"/>
                <c:pt idx="0">
                  <c:v>EBITDA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'Compte de Résultat'!$C$3:$F$4</c:f>
              <c:multiLvlStrCache>
                <c:ptCount val="3"/>
                <c:lvl>
                  <c:pt idx="0">
                    <c:v>12m</c:v>
                  </c:pt>
                  <c:pt idx="1">
                    <c:v>12m</c:v>
                  </c:pt>
                  <c:pt idx="2">
                    <c:v>12m</c:v>
                  </c:pt>
                </c:lvl>
                <c:lvl>
                  <c:pt idx="0">
                    <c:v>déc.-26</c:v>
                  </c:pt>
                  <c:pt idx="1">
                    <c:v>déc.-27</c:v>
                  </c:pt>
                  <c:pt idx="2">
                    <c:v>déc.-28</c:v>
                  </c:pt>
                </c:lvl>
              </c:multiLvlStrCache>
            </c:multiLvlStrRef>
          </c:cat>
          <c:val>
            <c:numRef>
              <c:f>'Compte de Résultat'!$C$18:$F$18</c:f>
              <c:numCache>
                <c:formatCode>#,##0</c:formatCode>
                <c:ptCount val="3"/>
                <c:pt idx="0">
                  <c:v>14850</c:v>
                </c:pt>
                <c:pt idx="1">
                  <c:v>56802</c:v>
                </c:pt>
                <c:pt idx="2">
                  <c:v>96372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5-4854-AB02-BFC0952E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9720954"/>
        <c:axId val="62550264"/>
      </c:lineChart>
      <c:catAx>
        <c:axId val="916799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31428840"/>
        <c:crosses val="autoZero"/>
        <c:auto val="1"/>
        <c:lblAlgn val="ctr"/>
        <c:lblOffset val="100"/>
        <c:noMultiLvlLbl val="0"/>
      </c:catAx>
      <c:valAx>
        <c:axId val="314288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91679988"/>
        <c:crosses val="autoZero"/>
        <c:crossBetween val="between"/>
      </c:valAx>
      <c:catAx>
        <c:axId val="3972095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50264"/>
        <c:crosses val="autoZero"/>
        <c:auto val="1"/>
        <c:lblAlgn val="ctr"/>
        <c:lblOffset val="100"/>
        <c:noMultiLvlLbl val="0"/>
      </c:catAx>
      <c:valAx>
        <c:axId val="62550264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39720954"/>
        <c:crosses val="max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259200</xdr:colOff>
      <xdr:row>1</xdr:row>
      <xdr:rowOff>57240</xdr:rowOff>
    </xdr:from>
    <xdr:to>
      <xdr:col>16</xdr:col>
      <xdr:colOff>353010</xdr:colOff>
      <xdr:row>18</xdr:row>
      <xdr:rowOff>59460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152280</xdr:colOff>
      <xdr:row>1</xdr:row>
      <xdr:rowOff>148680</xdr:rowOff>
    </xdr:from>
    <xdr:to>
      <xdr:col>13</xdr:col>
      <xdr:colOff>478380</xdr:colOff>
      <xdr:row>20</xdr:row>
      <xdr:rowOff>17850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62280</xdr:colOff>
      <xdr:row>1</xdr:row>
      <xdr:rowOff>27360</xdr:rowOff>
    </xdr:from>
    <xdr:to>
      <xdr:col>14</xdr:col>
      <xdr:colOff>479715</xdr:colOff>
      <xdr:row>25</xdr:row>
      <xdr:rowOff>132360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5"/>
  <sheetViews>
    <sheetView showGridLines="0" tabSelected="1" zoomScale="85" zoomScaleNormal="85" workbookViewId="0">
      <selection activeCell="B2" sqref="B2"/>
    </sheetView>
  </sheetViews>
  <sheetFormatPr baseColWidth="10" defaultColWidth="8.6640625" defaultRowHeight="13.2" x14ac:dyDescent="0.25"/>
  <cols>
    <col min="1" max="1" width="5" style="159" customWidth="1"/>
    <col min="2" max="2" width="80" style="159" customWidth="1"/>
    <col min="3" max="3" width="30" style="159" customWidth="1"/>
    <col min="4" max="16384" width="8.6640625" style="159"/>
  </cols>
  <sheetData>
    <row r="2" spans="2:2" ht="24.6" customHeight="1" x14ac:dyDescent="0.4">
      <c r="B2" s="176" t="s">
        <v>0</v>
      </c>
    </row>
    <row r="3" spans="2:2" ht="17.399999999999999" customHeight="1" x14ac:dyDescent="0.3">
      <c r="B3" s="177" t="s">
        <v>1</v>
      </c>
    </row>
    <row r="5" spans="2:2" ht="15" customHeight="1" x14ac:dyDescent="0.25">
      <c r="B5" s="178" t="s">
        <v>2</v>
      </c>
    </row>
    <row r="8" spans="2:2" ht="15" customHeight="1" x14ac:dyDescent="0.25">
      <c r="B8" s="179" t="s">
        <v>3</v>
      </c>
    </row>
    <row r="9" spans="2:2" ht="13.8" customHeight="1" x14ac:dyDescent="0.25">
      <c r="B9" s="180" t="s">
        <v>4</v>
      </c>
    </row>
    <row r="10" spans="2:2" ht="13.8" customHeight="1" x14ac:dyDescent="0.25">
      <c r="B10" s="180" t="s">
        <v>5</v>
      </c>
    </row>
    <row r="13" spans="2:2" ht="15" customHeight="1" x14ac:dyDescent="0.25">
      <c r="B13" s="179" t="s">
        <v>6</v>
      </c>
    </row>
    <row r="15" spans="2:2" ht="13.8" customHeight="1" x14ac:dyDescent="0.25">
      <c r="B15" s="180" t="s">
        <v>7</v>
      </c>
    </row>
    <row r="16" spans="2:2" ht="13.8" customHeight="1" x14ac:dyDescent="0.25">
      <c r="B16" s="180" t="s">
        <v>8</v>
      </c>
    </row>
    <row r="17" spans="2:3" ht="13.8" customHeight="1" x14ac:dyDescent="0.25">
      <c r="B17" s="180" t="s">
        <v>9</v>
      </c>
    </row>
    <row r="18" spans="2:3" ht="13.8" customHeight="1" x14ac:dyDescent="0.25">
      <c r="B18" s="180" t="s">
        <v>10</v>
      </c>
    </row>
    <row r="21" spans="2:3" ht="15" customHeight="1" x14ac:dyDescent="0.25">
      <c r="B21" s="179" t="s">
        <v>11</v>
      </c>
    </row>
    <row r="23" spans="2:3" ht="13.8" customHeight="1" x14ac:dyDescent="0.25">
      <c r="B23" s="181" t="s">
        <v>12</v>
      </c>
      <c r="C23" s="182" t="s">
        <v>13</v>
      </c>
    </row>
    <row r="24" spans="2:3" ht="13.8" customHeight="1" x14ac:dyDescent="0.25">
      <c r="B24" s="183" t="s">
        <v>14</v>
      </c>
      <c r="C24" s="182" t="s">
        <v>15</v>
      </c>
    </row>
    <row r="25" spans="2:3" ht="13.8" customHeight="1" x14ac:dyDescent="0.25">
      <c r="B25" s="183" t="s">
        <v>16</v>
      </c>
      <c r="C25" s="182" t="s">
        <v>17</v>
      </c>
    </row>
    <row r="26" spans="2:3" ht="13.8" customHeight="1" x14ac:dyDescent="0.25">
      <c r="B26" s="183" t="s">
        <v>18</v>
      </c>
      <c r="C26" s="182" t="s">
        <v>19</v>
      </c>
    </row>
    <row r="27" spans="2:3" ht="13.8" customHeight="1" x14ac:dyDescent="0.25">
      <c r="B27" s="183" t="s">
        <v>20</v>
      </c>
      <c r="C27" s="182" t="s">
        <v>21</v>
      </c>
    </row>
    <row r="28" spans="2:3" ht="13.8" customHeight="1" x14ac:dyDescent="0.25">
      <c r="B28" s="183" t="s">
        <v>22</v>
      </c>
      <c r="C28" s="182" t="s">
        <v>23</v>
      </c>
    </row>
    <row r="29" spans="2:3" ht="13.8" customHeight="1" x14ac:dyDescent="0.25">
      <c r="B29" s="184" t="s">
        <v>354</v>
      </c>
      <c r="C29" s="182" t="s">
        <v>24</v>
      </c>
    </row>
    <row r="30" spans="2:3" ht="13.8" customHeight="1" x14ac:dyDescent="0.25">
      <c r="B30" s="183" t="s">
        <v>25</v>
      </c>
      <c r="C30" s="182" t="s">
        <v>26</v>
      </c>
    </row>
    <row r="31" spans="2:3" ht="13.8" customHeight="1" x14ac:dyDescent="0.25">
      <c r="B31" s="183"/>
      <c r="C31" s="182"/>
    </row>
    <row r="34" spans="2:2" ht="15" customHeight="1" x14ac:dyDescent="0.25">
      <c r="B34" s="179" t="s">
        <v>27</v>
      </c>
    </row>
    <row r="36" spans="2:2" x14ac:dyDescent="0.25">
      <c r="B36" s="185" t="s">
        <v>28</v>
      </c>
    </row>
    <row r="37" spans="2:2" x14ac:dyDescent="0.25">
      <c r="B37" s="185" t="s">
        <v>29</v>
      </c>
    </row>
    <row r="38" spans="2:2" x14ac:dyDescent="0.25">
      <c r="B38" s="186" t="s">
        <v>30</v>
      </c>
    </row>
    <row r="39" spans="2:2" x14ac:dyDescent="0.25">
      <c r="B39" s="185" t="s">
        <v>31</v>
      </c>
    </row>
    <row r="40" spans="2:2" x14ac:dyDescent="0.25">
      <c r="B40" s="185" t="s">
        <v>32</v>
      </c>
    </row>
    <row r="43" spans="2:2" ht="15" customHeight="1" x14ac:dyDescent="0.25">
      <c r="B43" s="179" t="s">
        <v>33</v>
      </c>
    </row>
    <row r="45" spans="2:2" ht="13.8" customHeight="1" x14ac:dyDescent="0.25">
      <c r="B45" s="180" t="s">
        <v>34</v>
      </c>
    </row>
    <row r="46" spans="2:2" ht="13.8" customHeight="1" x14ac:dyDescent="0.25">
      <c r="B46" t="s">
        <v>352</v>
      </c>
    </row>
    <row r="47" spans="2:2" ht="13.8" customHeight="1" x14ac:dyDescent="0.25">
      <c r="B47" s="187" t="s">
        <v>35</v>
      </c>
    </row>
    <row r="50" spans="2:3" x14ac:dyDescent="0.25">
      <c r="B50" s="188" t="s">
        <v>36</v>
      </c>
    </row>
    <row r="51" spans="2:3" x14ac:dyDescent="0.25">
      <c r="B51" s="188"/>
    </row>
    <row r="53" spans="2:3" ht="13.8" x14ac:dyDescent="0.25">
      <c r="B53" s="189" t="s">
        <v>37</v>
      </c>
    </row>
    <row r="54" spans="2:3" x14ac:dyDescent="0.25">
      <c r="B54" s="202" t="s">
        <v>38</v>
      </c>
      <c r="C54" s="203"/>
    </row>
    <row r="55" spans="2:3" x14ac:dyDescent="0.25">
      <c r="B55" s="203"/>
      <c r="C55" s="203"/>
    </row>
  </sheetData>
  <mergeCells count="1">
    <mergeCell ref="B54:C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2"/>
  <sheetViews>
    <sheetView showGridLines="0" zoomScale="70" zoomScaleNormal="70" workbookViewId="0">
      <selection activeCell="B1" sqref="B1:E1"/>
    </sheetView>
  </sheetViews>
  <sheetFormatPr baseColWidth="10" defaultColWidth="8.6640625" defaultRowHeight="13.2" x14ac:dyDescent="0.25"/>
  <cols>
    <col min="1" max="1" width="5" style="159" customWidth="1"/>
    <col min="2" max="2" width="37.109375" style="159" bestFit="1" customWidth="1"/>
    <col min="3" max="3" width="10.5546875" style="159" bestFit="1" customWidth="1"/>
    <col min="4" max="5" width="12.77734375" style="159" bestFit="1" customWidth="1"/>
    <col min="6" max="6" width="43.6640625" style="159" bestFit="1" customWidth="1"/>
    <col min="7" max="16384" width="8.6640625" style="159"/>
  </cols>
  <sheetData>
    <row r="1" spans="2:6" ht="19.5" customHeight="1" x14ac:dyDescent="0.35">
      <c r="B1" s="205" t="s">
        <v>39</v>
      </c>
      <c r="C1" s="203"/>
      <c r="D1" s="203"/>
      <c r="E1" s="203"/>
    </row>
    <row r="2" spans="2:6" ht="15" customHeight="1" x14ac:dyDescent="0.25">
      <c r="B2" s="206" t="s">
        <v>40</v>
      </c>
      <c r="C2" s="203"/>
      <c r="D2" s="203"/>
      <c r="E2" s="203"/>
    </row>
    <row r="3" spans="2:6" ht="15" customHeight="1" x14ac:dyDescent="0.25">
      <c r="B3" s="206" t="s">
        <v>41</v>
      </c>
      <c r="C3" s="203"/>
      <c r="D3" s="203"/>
      <c r="E3" s="203"/>
    </row>
    <row r="5" spans="2:6" ht="15" customHeight="1" x14ac:dyDescent="0.25">
      <c r="B5" s="160" t="s">
        <v>42</v>
      </c>
      <c r="C5" s="160" t="s">
        <v>43</v>
      </c>
      <c r="D5" s="160" t="s">
        <v>44</v>
      </c>
      <c r="E5" s="160" t="s">
        <v>45</v>
      </c>
      <c r="F5" s="160" t="s">
        <v>46</v>
      </c>
    </row>
    <row r="7" spans="2:6" ht="15" customHeight="1" x14ac:dyDescent="0.25">
      <c r="B7" s="204" t="s">
        <v>47</v>
      </c>
      <c r="C7" s="203"/>
      <c r="D7" s="203"/>
      <c r="E7" s="203"/>
      <c r="F7" s="203"/>
    </row>
    <row r="8" spans="2:6" ht="15" customHeight="1" x14ac:dyDescent="0.25">
      <c r="B8" s="161" t="s">
        <v>48</v>
      </c>
      <c r="C8" s="162">
        <f>+D8/2</f>
        <v>80000</v>
      </c>
      <c r="D8" s="162">
        <v>160000</v>
      </c>
      <c r="E8" s="162">
        <v>240000</v>
      </c>
      <c r="F8" s="163" t="s">
        <v>49</v>
      </c>
    </row>
    <row r="9" spans="2:6" ht="15" customHeight="1" x14ac:dyDescent="0.25">
      <c r="B9" s="161" t="s">
        <v>50</v>
      </c>
      <c r="C9" s="162">
        <v>0</v>
      </c>
      <c r="D9" s="162">
        <v>36000</v>
      </c>
      <c r="E9" s="162">
        <v>72000</v>
      </c>
      <c r="F9" s="163" t="s">
        <v>51</v>
      </c>
    </row>
    <row r="10" spans="2:6" ht="15" customHeight="1" x14ac:dyDescent="0.25">
      <c r="B10" s="161" t="s">
        <v>52</v>
      </c>
      <c r="C10" s="162">
        <v>5000</v>
      </c>
      <c r="D10" s="162">
        <v>10000</v>
      </c>
      <c r="E10" s="162">
        <v>15000</v>
      </c>
      <c r="F10" s="163" t="s">
        <v>53</v>
      </c>
    </row>
    <row r="11" spans="2:6" ht="15" customHeight="1" x14ac:dyDescent="0.25">
      <c r="B11" s="161" t="s">
        <v>54</v>
      </c>
      <c r="C11" s="162">
        <f>+D11/2</f>
        <v>3000</v>
      </c>
      <c r="D11" s="162">
        <v>6000</v>
      </c>
      <c r="E11" s="162">
        <v>18000</v>
      </c>
      <c r="F11" s="163" t="s">
        <v>55</v>
      </c>
    </row>
    <row r="12" spans="2:6" ht="15" customHeight="1" x14ac:dyDescent="0.25">
      <c r="B12" s="161" t="s">
        <v>56</v>
      </c>
      <c r="C12" s="162">
        <v>25000</v>
      </c>
      <c r="D12" s="162">
        <v>36000</v>
      </c>
      <c r="E12" s="162">
        <v>72000</v>
      </c>
      <c r="F12" s="163" t="s">
        <v>57</v>
      </c>
    </row>
    <row r="13" spans="2:6" ht="15" customHeight="1" x14ac:dyDescent="0.25">
      <c r="B13" s="164" t="s">
        <v>58</v>
      </c>
      <c r="C13" s="165">
        <f>SUM(C8:C12)</f>
        <v>113000</v>
      </c>
      <c r="D13" s="165">
        <f>SUM(D8:D12)</f>
        <v>248000</v>
      </c>
      <c r="E13" s="165">
        <f>SUM(E8:E12)</f>
        <v>417000</v>
      </c>
    </row>
    <row r="15" spans="2:6" ht="15" customHeight="1" x14ac:dyDescent="0.25">
      <c r="B15" s="204" t="s">
        <v>59</v>
      </c>
      <c r="C15" s="203"/>
      <c r="D15" s="203"/>
      <c r="E15" s="203"/>
      <c r="F15" s="203"/>
    </row>
    <row r="16" spans="2:6" ht="15" customHeight="1" x14ac:dyDescent="0.25">
      <c r="B16" s="161" t="s">
        <v>60</v>
      </c>
      <c r="C16" s="162">
        <v>6000</v>
      </c>
      <c r="D16" s="162">
        <v>6000</v>
      </c>
      <c r="E16" s="162">
        <v>6000</v>
      </c>
      <c r="F16" s="166" t="s">
        <v>61</v>
      </c>
    </row>
    <row r="17" spans="2:6" ht="15" customHeight="1" x14ac:dyDescent="0.25">
      <c r="B17" s="161" t="s">
        <v>62</v>
      </c>
      <c r="C17" s="162">
        <v>1200</v>
      </c>
      <c r="D17" s="162">
        <v>1200</v>
      </c>
      <c r="E17" s="162">
        <v>1200</v>
      </c>
      <c r="F17" s="163" t="s">
        <v>63</v>
      </c>
    </row>
    <row r="18" spans="2:6" ht="15" customHeight="1" x14ac:dyDescent="0.25">
      <c r="B18" s="164" t="s">
        <v>64</v>
      </c>
      <c r="C18" s="165">
        <f>SUM(C16:C17)</f>
        <v>7200</v>
      </c>
      <c r="D18" s="165">
        <f>SUM(D16:D17)</f>
        <v>7200</v>
      </c>
      <c r="E18" s="165">
        <f>SUM(E16:E17)</f>
        <v>7200</v>
      </c>
    </row>
    <row r="20" spans="2:6" ht="15" customHeight="1" x14ac:dyDescent="0.25">
      <c r="B20" s="204" t="s">
        <v>65</v>
      </c>
      <c r="C20" s="203"/>
      <c r="D20" s="203"/>
      <c r="E20" s="203"/>
      <c r="F20" s="203"/>
    </row>
    <row r="21" spans="2:6" ht="15" customHeight="1" x14ac:dyDescent="0.25">
      <c r="B21" s="161" t="s">
        <v>66</v>
      </c>
      <c r="C21" s="162">
        <v>500</v>
      </c>
      <c r="D21" s="162">
        <v>500</v>
      </c>
      <c r="E21" s="162">
        <v>500</v>
      </c>
      <c r="F21" s="163" t="s">
        <v>67</v>
      </c>
    </row>
    <row r="22" spans="2:6" ht="15" customHeight="1" x14ac:dyDescent="0.25">
      <c r="B22" s="161" t="s">
        <v>68</v>
      </c>
      <c r="C22" s="162">
        <v>2000</v>
      </c>
      <c r="D22" s="162">
        <v>3000</v>
      </c>
      <c r="E22" s="162">
        <v>5000</v>
      </c>
      <c r="F22" s="163" t="s">
        <v>69</v>
      </c>
    </row>
    <row r="23" spans="2:6" ht="15" customHeight="1" x14ac:dyDescent="0.25">
      <c r="B23" s="161" t="s">
        <v>70</v>
      </c>
      <c r="C23" s="162">
        <v>0</v>
      </c>
      <c r="D23" s="162">
        <v>0</v>
      </c>
      <c r="E23" s="162">
        <v>0</v>
      </c>
      <c r="F23" s="163" t="s">
        <v>71</v>
      </c>
    </row>
    <row r="24" spans="2:6" ht="15" customHeight="1" x14ac:dyDescent="0.25">
      <c r="B24" s="161" t="s">
        <v>72</v>
      </c>
      <c r="C24" s="162">
        <v>1200</v>
      </c>
      <c r="D24" s="162">
        <v>1200</v>
      </c>
      <c r="E24" s="162">
        <v>1200</v>
      </c>
      <c r="F24" s="163" t="s">
        <v>73</v>
      </c>
    </row>
    <row r="25" spans="2:6" ht="15" customHeight="1" x14ac:dyDescent="0.25">
      <c r="B25" s="161" t="s">
        <v>74</v>
      </c>
      <c r="C25" s="162">
        <v>600</v>
      </c>
      <c r="D25" s="162">
        <v>600</v>
      </c>
      <c r="E25" s="162">
        <v>600</v>
      </c>
      <c r="F25" s="163" t="s">
        <v>75</v>
      </c>
    </row>
    <row r="26" spans="2:6" ht="15" customHeight="1" x14ac:dyDescent="0.25">
      <c r="B26" s="161" t="s">
        <v>76</v>
      </c>
      <c r="C26" s="162">
        <v>2400</v>
      </c>
      <c r="D26" s="162">
        <v>2400</v>
      </c>
      <c r="E26" s="162">
        <v>2400</v>
      </c>
      <c r="F26" s="163" t="s">
        <v>77</v>
      </c>
    </row>
    <row r="27" spans="2:6" ht="15" customHeight="1" x14ac:dyDescent="0.25">
      <c r="B27" s="161" t="s">
        <v>78</v>
      </c>
      <c r="C27" s="162">
        <v>600</v>
      </c>
      <c r="D27" s="162">
        <v>600</v>
      </c>
      <c r="E27" s="162">
        <v>600</v>
      </c>
      <c r="F27" s="163" t="s">
        <v>79</v>
      </c>
    </row>
    <row r="28" spans="2:6" ht="15" customHeight="1" x14ac:dyDescent="0.25">
      <c r="B28" s="161" t="s">
        <v>80</v>
      </c>
      <c r="C28" s="162">
        <v>1200</v>
      </c>
      <c r="D28" s="162">
        <v>1200</v>
      </c>
      <c r="E28" s="162">
        <v>1200</v>
      </c>
      <c r="F28" s="163" t="s">
        <v>81</v>
      </c>
    </row>
    <row r="29" spans="2:6" ht="15" customHeight="1" x14ac:dyDescent="0.25">
      <c r="B29" s="161" t="s">
        <v>82</v>
      </c>
      <c r="C29" s="162">
        <v>1800</v>
      </c>
      <c r="D29" s="162">
        <v>1800</v>
      </c>
      <c r="E29" s="162">
        <v>1800</v>
      </c>
      <c r="F29" s="163" t="s">
        <v>83</v>
      </c>
    </row>
    <row r="30" spans="2:6" ht="15" customHeight="1" x14ac:dyDescent="0.25">
      <c r="B30" s="161" t="s">
        <v>84</v>
      </c>
      <c r="C30" s="162">
        <v>1200</v>
      </c>
      <c r="D30" s="162">
        <v>1200</v>
      </c>
      <c r="E30" s="162">
        <v>1200</v>
      </c>
      <c r="F30" s="163" t="s">
        <v>85</v>
      </c>
    </row>
    <row r="31" spans="2:6" ht="15" customHeight="1" x14ac:dyDescent="0.25">
      <c r="B31" s="164" t="s">
        <v>86</v>
      </c>
      <c r="C31" s="165">
        <f>SUM(C21:C30)</f>
        <v>11500</v>
      </c>
      <c r="D31" s="165">
        <f>SUM(D21:D30)</f>
        <v>12500</v>
      </c>
      <c r="E31" s="165">
        <f>SUM(E21:E30)</f>
        <v>14500</v>
      </c>
    </row>
    <row r="33" spans="2:6" ht="15" customHeight="1" x14ac:dyDescent="0.25">
      <c r="B33" s="204" t="s">
        <v>87</v>
      </c>
      <c r="C33" s="203"/>
      <c r="D33" s="203"/>
      <c r="E33" s="203"/>
      <c r="F33" s="203"/>
    </row>
    <row r="34" spans="2:6" ht="15" customHeight="1" x14ac:dyDescent="0.25">
      <c r="B34" s="167" t="s">
        <v>88</v>
      </c>
      <c r="C34" s="162">
        <v>25000</v>
      </c>
      <c r="D34" s="162">
        <v>45000</v>
      </c>
      <c r="E34" s="162">
        <v>80000</v>
      </c>
      <c r="F34" s="163" t="s">
        <v>89</v>
      </c>
    </row>
    <row r="35" spans="2:6" ht="15" customHeight="1" x14ac:dyDescent="0.25">
      <c r="B35" s="161" t="s">
        <v>90</v>
      </c>
      <c r="C35" s="162">
        <v>30000</v>
      </c>
      <c r="D35" s="162">
        <v>74400</v>
      </c>
      <c r="E35" s="162">
        <v>128400</v>
      </c>
      <c r="F35" s="163" t="s">
        <v>91</v>
      </c>
    </row>
    <row r="36" spans="2:6" ht="15" customHeight="1" x14ac:dyDescent="0.25">
      <c r="B36" s="161" t="s">
        <v>92</v>
      </c>
      <c r="C36" s="168">
        <v>0.42</v>
      </c>
      <c r="D36" s="168">
        <v>0.42</v>
      </c>
      <c r="E36" s="168">
        <v>0.42</v>
      </c>
      <c r="F36" s="163" t="s">
        <v>93</v>
      </c>
    </row>
    <row r="37" spans="2:6" ht="15" customHeight="1" x14ac:dyDescent="0.25">
      <c r="B37" s="161" t="s">
        <v>94</v>
      </c>
      <c r="C37" s="169">
        <f>C35*C36</f>
        <v>12600</v>
      </c>
      <c r="D37" s="169">
        <f>D35*D36</f>
        <v>31248</v>
      </c>
      <c r="E37" s="169">
        <f>E35*E36</f>
        <v>53928</v>
      </c>
    </row>
    <row r="38" spans="2:6" ht="15" customHeight="1" x14ac:dyDescent="0.25">
      <c r="B38" s="164" t="s">
        <v>95</v>
      </c>
      <c r="C38" s="165">
        <f>C34+C35+C37+C62</f>
        <v>78850</v>
      </c>
      <c r="D38" s="165">
        <f>D34+D35+D37+D62</f>
        <v>170898</v>
      </c>
      <c r="E38" s="165">
        <f>E34+E35+E37+E62</f>
        <v>298328</v>
      </c>
    </row>
    <row r="40" spans="2:6" ht="15" customHeight="1" x14ac:dyDescent="0.25">
      <c r="B40" s="204" t="s">
        <v>96</v>
      </c>
      <c r="C40" s="203"/>
      <c r="D40" s="203"/>
      <c r="E40" s="203"/>
      <c r="F40" s="203"/>
    </row>
    <row r="41" spans="2:6" ht="15" customHeight="1" x14ac:dyDescent="0.25">
      <c r="B41" s="161" t="s">
        <v>97</v>
      </c>
      <c r="C41" s="162">
        <v>0</v>
      </c>
      <c r="D41" s="162">
        <v>0</v>
      </c>
      <c r="E41" s="162">
        <v>0</v>
      </c>
      <c r="F41" s="163" t="s">
        <v>98</v>
      </c>
    </row>
    <row r="42" spans="2:6" ht="15" customHeight="1" x14ac:dyDescent="0.25">
      <c r="B42" s="161" t="s">
        <v>99</v>
      </c>
      <c r="C42" s="162">
        <v>0</v>
      </c>
      <c r="D42" s="162">
        <v>0</v>
      </c>
      <c r="E42" s="162">
        <v>0</v>
      </c>
      <c r="F42" s="163" t="s">
        <v>100</v>
      </c>
    </row>
    <row r="43" spans="2:6" ht="15" customHeight="1" x14ac:dyDescent="0.25">
      <c r="B43" s="161" t="s">
        <v>101</v>
      </c>
      <c r="C43" s="162">
        <v>1500</v>
      </c>
      <c r="D43" s="162">
        <v>500</v>
      </c>
      <c r="E43" s="162">
        <v>500</v>
      </c>
      <c r="F43" s="163" t="s">
        <v>102</v>
      </c>
    </row>
    <row r="44" spans="2:6" ht="15" customHeight="1" x14ac:dyDescent="0.25">
      <c r="B44" s="161" t="s">
        <v>103</v>
      </c>
      <c r="C44" s="162">
        <v>4000</v>
      </c>
      <c r="D44" s="162">
        <v>1500</v>
      </c>
      <c r="E44" s="162">
        <v>2000</v>
      </c>
      <c r="F44" s="163" t="s">
        <v>104</v>
      </c>
    </row>
    <row r="45" spans="2:6" ht="15" customHeight="1" x14ac:dyDescent="0.25">
      <c r="B45" s="161" t="s">
        <v>105</v>
      </c>
      <c r="C45" s="170">
        <v>3</v>
      </c>
      <c r="D45" s="170">
        <v>3</v>
      </c>
      <c r="E45" s="170">
        <v>3</v>
      </c>
      <c r="F45" s="163" t="s">
        <v>106</v>
      </c>
    </row>
    <row r="46" spans="2:6" ht="15" customHeight="1" x14ac:dyDescent="0.25">
      <c r="B46" s="164" t="s">
        <v>107</v>
      </c>
      <c r="C46" s="165">
        <f>SUM(C41:C44)</f>
        <v>5500</v>
      </c>
      <c r="D46" s="165">
        <f>SUM(D41:D44)</f>
        <v>2000</v>
      </c>
      <c r="E46" s="165">
        <f>SUM(E41:E44)</f>
        <v>2500</v>
      </c>
    </row>
    <row r="48" spans="2:6" ht="15" customHeight="1" x14ac:dyDescent="0.25">
      <c r="B48" s="204" t="s">
        <v>108</v>
      </c>
      <c r="C48" s="203"/>
      <c r="D48" s="203"/>
      <c r="E48" s="203"/>
      <c r="F48" s="203"/>
    </row>
    <row r="49" spans="2:6" ht="15" customHeight="1" x14ac:dyDescent="0.25">
      <c r="B49" s="161" t="s">
        <v>109</v>
      </c>
      <c r="C49" s="162">
        <v>10000</v>
      </c>
      <c r="D49" s="162">
        <v>0</v>
      </c>
      <c r="E49" s="162">
        <v>0</v>
      </c>
      <c r="F49" s="163" t="s">
        <v>110</v>
      </c>
    </row>
    <row r="50" spans="2:6" ht="15" customHeight="1" x14ac:dyDescent="0.25">
      <c r="B50" s="161" t="s">
        <v>111</v>
      </c>
      <c r="C50" s="162">
        <v>20000</v>
      </c>
      <c r="D50" s="162">
        <v>0</v>
      </c>
      <c r="E50" s="162">
        <v>0</v>
      </c>
      <c r="F50" s="163" t="s">
        <v>112</v>
      </c>
    </row>
    <row r="51" spans="2:6" ht="15" customHeight="1" x14ac:dyDescent="0.25">
      <c r="B51" s="161" t="s">
        <v>113</v>
      </c>
      <c r="C51" s="171">
        <v>0.04</v>
      </c>
      <c r="D51" s="171">
        <v>0.04</v>
      </c>
      <c r="E51" s="171">
        <v>0.04</v>
      </c>
      <c r="F51" s="163" t="s">
        <v>114</v>
      </c>
    </row>
    <row r="52" spans="2:6" ht="15" customHeight="1" x14ac:dyDescent="0.25">
      <c r="B52" s="161" t="s">
        <v>115</v>
      </c>
      <c r="C52" s="172">
        <v>5</v>
      </c>
      <c r="D52" s="172">
        <v>5</v>
      </c>
      <c r="E52" s="172">
        <v>5</v>
      </c>
      <c r="F52" s="163" t="s">
        <v>116</v>
      </c>
    </row>
    <row r="53" spans="2:6" ht="15" customHeight="1" x14ac:dyDescent="0.25">
      <c r="B53" s="161" t="s">
        <v>117</v>
      </c>
      <c r="C53" s="169">
        <f>IF(C52&gt;0,C50/C52,0)</f>
        <v>4000</v>
      </c>
      <c r="D53" s="169">
        <f>IF(D52&gt;0,D50/D52,0)</f>
        <v>0</v>
      </c>
      <c r="E53" s="169">
        <f>IF(E52&gt;0,E50/E52,0)</f>
        <v>0</v>
      </c>
    </row>
    <row r="54" spans="2:6" ht="15" customHeight="1" x14ac:dyDescent="0.25">
      <c r="B54" s="161" t="s">
        <v>118</v>
      </c>
      <c r="C54" s="169">
        <f>C50*C51</f>
        <v>800</v>
      </c>
      <c r="D54" s="169">
        <f>(C50-C53)*D51</f>
        <v>640</v>
      </c>
      <c r="E54" s="169">
        <f>(C50-2*C53)*E51</f>
        <v>480</v>
      </c>
    </row>
    <row r="56" spans="2:6" ht="15" customHeight="1" x14ac:dyDescent="0.25">
      <c r="B56" s="204" t="s">
        <v>119</v>
      </c>
      <c r="C56" s="203"/>
      <c r="D56" s="203"/>
      <c r="E56" s="203"/>
      <c r="F56" s="203"/>
    </row>
    <row r="57" spans="2:6" ht="15" customHeight="1" x14ac:dyDescent="0.25">
      <c r="B57" s="161" t="s">
        <v>120</v>
      </c>
      <c r="C57" s="162">
        <v>600</v>
      </c>
      <c r="D57" s="162">
        <v>600</v>
      </c>
      <c r="E57" s="162">
        <v>600</v>
      </c>
      <c r="F57" s="163" t="s">
        <v>121</v>
      </c>
    </row>
    <row r="58" spans="2:6" ht="36.6" customHeight="1" x14ac:dyDescent="0.25">
      <c r="B58" s="173" t="s">
        <v>122</v>
      </c>
      <c r="C58" s="159">
        <v>0.25</v>
      </c>
      <c r="D58" s="159">
        <v>0.25</v>
      </c>
      <c r="E58" s="159">
        <v>0.25</v>
      </c>
      <c r="F58" s="201" t="s">
        <v>353</v>
      </c>
    </row>
    <row r="59" spans="2:6" ht="15" customHeight="1" x14ac:dyDescent="0.25">
      <c r="B59" s="173" t="s">
        <v>123</v>
      </c>
      <c r="C59" s="159">
        <v>0</v>
      </c>
      <c r="D59" s="159">
        <v>0</v>
      </c>
      <c r="E59" s="159">
        <v>0</v>
      </c>
    </row>
    <row r="61" spans="2:6" ht="13.8" x14ac:dyDescent="0.25">
      <c r="B61" s="173" t="s">
        <v>124</v>
      </c>
      <c r="C61" s="174">
        <v>0.45</v>
      </c>
      <c r="D61" s="174">
        <v>0.45</v>
      </c>
      <c r="E61" s="174">
        <v>0.45</v>
      </c>
    </row>
    <row r="62" spans="2:6" x14ac:dyDescent="0.25">
      <c r="B62" s="173" t="s">
        <v>125</v>
      </c>
      <c r="C62" s="175">
        <f>C34*C61</f>
        <v>11250</v>
      </c>
      <c r="D62" s="175">
        <f>D34*D61</f>
        <v>20250</v>
      </c>
      <c r="E62" s="175">
        <f>E34*E61</f>
        <v>36000</v>
      </c>
    </row>
  </sheetData>
  <mergeCells count="10">
    <mergeCell ref="B56:F56"/>
    <mergeCell ref="B1:E1"/>
    <mergeCell ref="B7:F7"/>
    <mergeCell ref="B48:F48"/>
    <mergeCell ref="B20:F20"/>
    <mergeCell ref="B15:F15"/>
    <mergeCell ref="B33:F33"/>
    <mergeCell ref="B3:E3"/>
    <mergeCell ref="B2:E2"/>
    <mergeCell ref="B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8"/>
  <sheetViews>
    <sheetView showGridLines="0" zoomScale="85" zoomScaleNormal="85" workbookViewId="0">
      <selection activeCell="B1" sqref="B1:E1"/>
    </sheetView>
  </sheetViews>
  <sheetFormatPr baseColWidth="10" defaultColWidth="8.88671875" defaultRowHeight="13.2" x14ac:dyDescent="0.25"/>
  <cols>
    <col min="1" max="1" width="2" style="159" customWidth="1"/>
    <col min="2" max="2" width="47" style="159" customWidth="1"/>
    <col min="3" max="3" width="14" style="159" bestFit="1" customWidth="1"/>
    <col min="4" max="5" width="16.109375" style="159" bestFit="1" customWidth="1"/>
    <col min="6" max="6" width="5" style="159" customWidth="1"/>
    <col min="7" max="7" width="40" style="159" customWidth="1"/>
    <col min="8" max="16384" width="8.88671875" style="159"/>
  </cols>
  <sheetData>
    <row r="1" spans="2:5" ht="18" x14ac:dyDescent="0.35">
      <c r="B1" s="207" t="s">
        <v>126</v>
      </c>
      <c r="C1" s="203"/>
      <c r="D1" s="203"/>
      <c r="E1" s="203"/>
    </row>
    <row r="2" spans="2:5" ht="13.8" x14ac:dyDescent="0.3">
      <c r="B2" s="208" t="s">
        <v>127</v>
      </c>
      <c r="C2" s="203"/>
      <c r="D2" s="203"/>
      <c r="E2" s="203"/>
    </row>
    <row r="4" spans="2:5" ht="14.4" x14ac:dyDescent="0.3">
      <c r="B4" s="190" t="s">
        <v>128</v>
      </c>
      <c r="C4" s="190" t="s">
        <v>129</v>
      </c>
      <c r="D4" s="190" t="s">
        <v>130</v>
      </c>
      <c r="E4" s="190" t="s">
        <v>131</v>
      </c>
    </row>
    <row r="5" spans="2:5" ht="14.4" x14ac:dyDescent="0.3">
      <c r="B5" s="191" t="s">
        <v>132</v>
      </c>
    </row>
    <row r="6" spans="2:5" ht="14.4" x14ac:dyDescent="0.3">
      <c r="B6" s="192" t="s">
        <v>133</v>
      </c>
      <c r="C6" s="193">
        <f>SAISIE!C13</f>
        <v>113000</v>
      </c>
      <c r="D6" s="193">
        <f>SAISIE!D13</f>
        <v>248000</v>
      </c>
      <c r="E6" s="193">
        <f>SAISIE!E13</f>
        <v>417000</v>
      </c>
    </row>
    <row r="7" spans="2:5" ht="14.4" x14ac:dyDescent="0.3">
      <c r="B7" s="192" t="s">
        <v>134</v>
      </c>
      <c r="C7" s="193">
        <f>Synthèse!C8</f>
        <v>62000</v>
      </c>
      <c r="D7" s="193">
        <f>Synthèse!D8</f>
        <v>133952</v>
      </c>
      <c r="E7" s="193">
        <f>Synthèse!E8</f>
        <v>226272</v>
      </c>
    </row>
    <row r="8" spans="2:5" ht="14.4" x14ac:dyDescent="0.3">
      <c r="B8" s="192" t="s">
        <v>135</v>
      </c>
      <c r="C8" s="194">
        <f>Synthèse!C9</f>
        <v>0.54867256637168138</v>
      </c>
      <c r="D8" s="194">
        <f>Synthèse!D9</f>
        <v>0.54012903225806452</v>
      </c>
      <c r="E8" s="194">
        <f>Synthèse!E9</f>
        <v>0.5426187050359712</v>
      </c>
    </row>
    <row r="9" spans="2:5" ht="14.4" x14ac:dyDescent="0.3">
      <c r="B9" s="192" t="s">
        <v>136</v>
      </c>
      <c r="C9" s="193">
        <f>Synthèse!C10</f>
        <v>14850</v>
      </c>
      <c r="D9" s="193">
        <f>Synthèse!D10</f>
        <v>56802</v>
      </c>
      <c r="E9" s="193">
        <f>Synthèse!E10</f>
        <v>96372</v>
      </c>
    </row>
    <row r="10" spans="2:5" ht="14.4" x14ac:dyDescent="0.3">
      <c r="B10" s="192" t="s">
        <v>137</v>
      </c>
      <c r="C10" s="194">
        <f>Synthèse!C11</f>
        <v>0.13141592920353981</v>
      </c>
      <c r="D10" s="194">
        <f>Synthèse!D11</f>
        <v>0.22904032258064516</v>
      </c>
      <c r="E10" s="194">
        <f>Synthèse!E11</f>
        <v>0.23110791366906475</v>
      </c>
    </row>
    <row r="11" spans="2:5" ht="14.4" x14ac:dyDescent="0.3">
      <c r="B11" s="192" t="s">
        <v>138</v>
      </c>
      <c r="C11" s="193">
        <f>'Compte de Résultat'!D31</f>
        <v>10434.591585212362</v>
      </c>
      <c r="D11" s="193">
        <f>'Compte de Résultat'!E31</f>
        <v>45895.584974356476</v>
      </c>
      <c r="E11" s="193">
        <f>'Compte de Résultat'!F31</f>
        <v>75551.73492153082</v>
      </c>
    </row>
    <row r="12" spans="2:5" ht="14.4" x14ac:dyDescent="0.3">
      <c r="B12" s="192" t="s">
        <v>139</v>
      </c>
      <c r="C12" s="194">
        <f>'Compte de Résultat'!D32</f>
        <v>9.2341518453206747E-2</v>
      </c>
      <c r="D12" s="194">
        <f>'Compte de Résultat'!E32</f>
        <v>0.18506284263853418</v>
      </c>
      <c r="E12" s="194">
        <f>'Compte de Résultat'!F32</f>
        <v>0.18117922043532572</v>
      </c>
    </row>
    <row r="14" spans="2:5" ht="14.4" x14ac:dyDescent="0.3">
      <c r="B14" s="191" t="s">
        <v>140</v>
      </c>
    </row>
    <row r="15" spans="2:5" ht="14.4" x14ac:dyDescent="0.3">
      <c r="B15" s="192" t="s">
        <v>141</v>
      </c>
      <c r="C15" s="193">
        <f>SAISIE!C34+SAISIE!C62+SAISIE!C21+SAISIE!C22+SAISIE!C23+SAISIE!C24+SAISIE!C26+SAISIE!C57</f>
        <v>42950</v>
      </c>
      <c r="D15" s="193">
        <f>SAISIE!D34+SAISIE!D62+SAISIE!D21+SAISIE!D22+SAISIE!D23+SAISIE!D24+SAISIE!D26+SAISIE!D57</f>
        <v>72950</v>
      </c>
      <c r="E15" s="193">
        <f>SAISIE!E34+SAISIE!E62+SAISIE!E21+SAISIE!E22+SAISIE!E23+SAISIE!E24+SAISIE!E26+SAISIE!E57</f>
        <v>125700</v>
      </c>
    </row>
    <row r="16" spans="2:5" ht="14.4" x14ac:dyDescent="0.3">
      <c r="B16" s="192" t="s">
        <v>142</v>
      </c>
      <c r="C16" s="193">
        <f>SAISIE!C35+SAISIE!C37+SAISIE!C16+SAISIE!C17</f>
        <v>49800</v>
      </c>
      <c r="D16" s="193">
        <f>SAISIE!D35+SAISIE!D37+SAISIE!D16+SAISIE!D17</f>
        <v>112848</v>
      </c>
      <c r="E16" s="193">
        <f>SAISIE!E35+SAISIE!E37+SAISIE!E16+SAISIE!E17</f>
        <v>189528</v>
      </c>
    </row>
    <row r="17" spans="2:5" ht="14.4" x14ac:dyDescent="0.3">
      <c r="B17" s="192" t="s">
        <v>143</v>
      </c>
      <c r="C17" s="194">
        <f>IF(C6=0,0,(C6-C16)/C6)</f>
        <v>0.55929203539823014</v>
      </c>
      <c r="D17" s="194">
        <f>IF(D6=0,0,(D6-D16)/D6)</f>
        <v>0.54496774193548392</v>
      </c>
      <c r="E17" s="194">
        <f>IF(E6=0,0,(E6-E16)/E6)</f>
        <v>0.54549640287769785</v>
      </c>
    </row>
    <row r="18" spans="2:5" ht="14.4" x14ac:dyDescent="0.3">
      <c r="B18" s="192" t="s">
        <v>144</v>
      </c>
      <c r="C18" s="193">
        <f>IF(C17=0,0,C15/C17)</f>
        <v>76793.512658227846</v>
      </c>
      <c r="D18" s="193">
        <f>IF(D17=0,0,D15/D17)</f>
        <v>133861.1341304605</v>
      </c>
      <c r="E18" s="193">
        <f>IF(E17=0,0,E15/E17)</f>
        <v>230432.31694450305</v>
      </c>
    </row>
    <row r="19" spans="2:5" ht="14.4" x14ac:dyDescent="0.3">
      <c r="B19" s="192" t="s">
        <v>145</v>
      </c>
      <c r="C19" s="195">
        <f>IF(C6=0,0,ROUND(C18/C6*12,1))</f>
        <v>8.1999999999999993</v>
      </c>
      <c r="D19" s="195">
        <f>IF(D6=0,0,ROUND(D18/D6*12,1))</f>
        <v>6.5</v>
      </c>
      <c r="E19" s="195">
        <f>IF(E6=0,0,ROUND(E18/E6*12,1))</f>
        <v>6.6</v>
      </c>
    </row>
    <row r="21" spans="2:5" ht="14.4" x14ac:dyDescent="0.3">
      <c r="B21" s="191" t="s">
        <v>146</v>
      </c>
    </row>
    <row r="22" spans="2:5" ht="14.4" x14ac:dyDescent="0.3">
      <c r="B22" s="192" t="s">
        <v>147</v>
      </c>
      <c r="C22" s="193">
        <f>Synthèse!C14</f>
        <v>31630.15676691652</v>
      </c>
      <c r="D22" s="193">
        <f>Synthèse!D14</f>
        <v>72051.139702650224</v>
      </c>
      <c r="E22" s="193">
        <f>Synthèse!E14</f>
        <v>137165.29479682446</v>
      </c>
    </row>
    <row r="23" spans="2:5" ht="14.4" x14ac:dyDescent="0.3">
      <c r="B23" s="192" t="s">
        <v>148</v>
      </c>
      <c r="C23" s="193">
        <f>Synthèse!C15</f>
        <v>25516.666666666664</v>
      </c>
      <c r="D23" s="193">
        <f>Synthèse!D15</f>
        <v>27467.5211783618</v>
      </c>
      <c r="E23" s="193">
        <f>Synthèse!E15</f>
        <v>69813.477825092647</v>
      </c>
    </row>
    <row r="24" spans="2:5" ht="14.4" x14ac:dyDescent="0.3">
      <c r="B24" s="192" t="s">
        <v>149</v>
      </c>
      <c r="C24" s="192">
        <f>IF(C6=0,0,ROUND(Synthèse!C14/((SAISIE!C38+SAISIE!C18+SAISIE!C31+SAISIE!C62)/12),1))</f>
        <v>3.5</v>
      </c>
      <c r="D24" s="192">
        <f>IF(D6=0,0,ROUND(Synthèse!D14/((SAISIE!D38+SAISIE!D18+SAISIE!D31+SAISIE!D62)/12),1))</f>
        <v>4.0999999999999996</v>
      </c>
      <c r="E24" s="192">
        <f>IF(E6=0,0,ROUND(Synthèse!E14/((SAISIE!E38+SAISIE!E18+SAISIE!E31+SAISIE!E62)/12),1))</f>
        <v>4.5999999999999996</v>
      </c>
    </row>
    <row r="25" spans="2:5" ht="14.4" x14ac:dyDescent="0.3">
      <c r="B25" s="192" t="s">
        <v>150</v>
      </c>
      <c r="C25" s="193">
        <f>Synthèse!C16</f>
        <v>20434.591585212362</v>
      </c>
      <c r="D25" s="193">
        <f>Synthèse!D16</f>
        <v>66330.176559568834</v>
      </c>
      <c r="E25" s="193">
        <f>Synthèse!E16</f>
        <v>141881.91148109967</v>
      </c>
    </row>
    <row r="26" spans="2:5" ht="14.4" x14ac:dyDescent="0.3">
      <c r="B26" s="192" t="s">
        <v>151</v>
      </c>
      <c r="C26" s="194">
        <f>IF(Bilan!D39=0,0,Synthèse!C16/Bilan!D39)</f>
        <v>0.43854044287673005</v>
      </c>
      <c r="D26" s="194">
        <f>IF(Bilan!E39=0,0,Synthèse!D16/Bilan!E39)</f>
        <v>0.65124628701472353</v>
      </c>
      <c r="E26" s="194">
        <f>IF(Bilan!F39=0,0,Synthèse!E16/Bilan!F39)</f>
        <v>0.76473029424107664</v>
      </c>
    </row>
    <row r="27" spans="2:5" ht="14.4" x14ac:dyDescent="0.3">
      <c r="B27" s="192" t="s">
        <v>152</v>
      </c>
      <c r="C27" s="193">
        <f>Synthèse!C17</f>
        <v>1137.7681516292305</v>
      </c>
      <c r="D27" s="193">
        <f>Synthèse!D17</f>
        <v>1279.036856918694</v>
      </c>
      <c r="E27" s="193">
        <f>Synthèse!E17</f>
        <v>6049.9500176085421</v>
      </c>
    </row>
    <row r="29" spans="2:5" ht="14.4" x14ac:dyDescent="0.3">
      <c r="B29" s="191" t="s">
        <v>153</v>
      </c>
    </row>
    <row r="30" spans="2:5" ht="14.4" x14ac:dyDescent="0.3">
      <c r="B30" s="192" t="s">
        <v>154</v>
      </c>
      <c r="C30" s="196">
        <f>Synthèse!C13</f>
        <v>1</v>
      </c>
      <c r="D30" s="196">
        <f>Synthèse!D13</f>
        <v>2</v>
      </c>
      <c r="E30" s="196">
        <f>Synthèse!E13</f>
        <v>3</v>
      </c>
    </row>
    <row r="31" spans="2:5" ht="14.4" x14ac:dyDescent="0.3">
      <c r="B31" s="192" t="s">
        <v>155</v>
      </c>
      <c r="C31" s="193">
        <f>IF(C30=0,0,C6/(C30+1))</f>
        <v>56500</v>
      </c>
      <c r="D31" s="193">
        <f>IF(D30=0,0,D6/(D30+1))</f>
        <v>82666.666666666672</v>
      </c>
      <c r="E31" s="193">
        <f>IF(E30=0,0,E6/(E30+1))</f>
        <v>104250</v>
      </c>
    </row>
    <row r="32" spans="2:5" ht="14.4" x14ac:dyDescent="0.3">
      <c r="B32" s="192" t="s">
        <v>156</v>
      </c>
      <c r="C32" s="197" t="str">
        <f>"N/A"</f>
        <v>N/A</v>
      </c>
      <c r="D32" s="194">
        <f>IF(C6=0,0,(D6-C6)/C6)</f>
        <v>1.1946902654867257</v>
      </c>
      <c r="E32" s="194">
        <f>IF(D6=0,0,(E6-D6)/D6)</f>
        <v>0.68145161290322576</v>
      </c>
    </row>
    <row r="33" spans="2:5" ht="14.4" x14ac:dyDescent="0.3">
      <c r="B33" s="192" t="s">
        <v>157</v>
      </c>
      <c r="C33" s="193">
        <f>C6/12</f>
        <v>9416.6666666666661</v>
      </c>
      <c r="D33" s="193">
        <f>D6/12</f>
        <v>20666.666666666668</v>
      </c>
      <c r="E33" s="193">
        <f>E6/12</f>
        <v>34750</v>
      </c>
    </row>
    <row r="35" spans="2:5" ht="14.4" x14ac:dyDescent="0.3">
      <c r="B35" s="191" t="s">
        <v>158</v>
      </c>
    </row>
    <row r="36" spans="2:5" ht="14.4" x14ac:dyDescent="0.3">
      <c r="B36" s="192" t="s">
        <v>159</v>
      </c>
      <c r="C36" s="196">
        <f>25</f>
        <v>25</v>
      </c>
      <c r="D36" s="196">
        <f>60</f>
        <v>60</v>
      </c>
      <c r="E36" s="196">
        <f>100</f>
        <v>100</v>
      </c>
    </row>
    <row r="37" spans="2:5" ht="14.4" x14ac:dyDescent="0.3">
      <c r="B37" s="192" t="s">
        <v>160</v>
      </c>
      <c r="C37" s="193">
        <f>IF(C36=0,0,C6/C36)</f>
        <v>4520</v>
      </c>
      <c r="D37" s="193">
        <f>IF(D36=0,0,D6/D36)</f>
        <v>4133.333333333333</v>
      </c>
      <c r="E37" s="193">
        <f>IF(E36=0,0,E6/E36)</f>
        <v>4170</v>
      </c>
    </row>
    <row r="38" spans="2:5" ht="14.4" x14ac:dyDescent="0.3">
      <c r="B38" s="192" t="s">
        <v>161</v>
      </c>
      <c r="C38" s="194">
        <f>IF(C6=0,0,SAISIE!C8/C6)</f>
        <v>0.70796460176991149</v>
      </c>
      <c r="D38" s="194">
        <f>IF(D6=0,0,SAISIE!D8/D6)</f>
        <v>0.64516129032258063</v>
      </c>
      <c r="E38" s="194">
        <f>IF(E6=0,0,SAISIE!E8/E6)</f>
        <v>0.57553956834532372</v>
      </c>
    </row>
    <row r="39" spans="2:5" ht="14.4" x14ac:dyDescent="0.3">
      <c r="B39" s="192" t="s">
        <v>162</v>
      </c>
      <c r="C39" s="196">
        <f>COUNTIF(SAISIE!C8:C12,"&gt;"&amp;C6*5%)</f>
        <v>2</v>
      </c>
      <c r="D39" s="196">
        <f>COUNTIF(SAISIE!D8:D12,"&gt;"&amp;D6*5%)</f>
        <v>3</v>
      </c>
      <c r="E39" s="196">
        <f>COUNTIF(SAISIE!E8:E12,"&gt;"&amp;E6*5%)</f>
        <v>3</v>
      </c>
    </row>
    <row r="41" spans="2:5" ht="13.8" x14ac:dyDescent="0.3">
      <c r="B41" s="198" t="s">
        <v>163</v>
      </c>
    </row>
    <row r="42" spans="2:5" x14ac:dyDescent="0.25">
      <c r="B42" s="199" t="s">
        <v>164</v>
      </c>
    </row>
    <row r="43" spans="2:5" x14ac:dyDescent="0.25">
      <c r="B43" s="199" t="s">
        <v>165</v>
      </c>
    </row>
    <row r="44" spans="2:5" x14ac:dyDescent="0.25">
      <c r="B44" s="199" t="s">
        <v>166</v>
      </c>
    </row>
    <row r="45" spans="2:5" x14ac:dyDescent="0.25">
      <c r="B45" s="199" t="s">
        <v>167</v>
      </c>
    </row>
    <row r="46" spans="2:5" x14ac:dyDescent="0.25">
      <c r="B46" s="199" t="s">
        <v>168</v>
      </c>
    </row>
    <row r="48" spans="2:5" x14ac:dyDescent="0.25">
      <c r="B48" s="200" t="s">
        <v>169</v>
      </c>
    </row>
  </sheetData>
  <sheetProtection algorithmName="SHA-512" hashValue="DMymqMr+AtuDOhYyy98SzKxcIIpnds0HyOv/UzqEjZt0SPRC2ZcU95vwLQlCRK8wrCfeh+ckbokW1ntiFnQFhQ==" saltValue="krsHgwSt8087ekADmS3Efg==" spinCount="100000" sheet="1" objects="1" scenarios="1"/>
  <mergeCells count="2">
    <mergeCell ref="B1:E1"/>
    <mergeCell ref="B2:E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E67"/>
  <sheetViews>
    <sheetView showGridLines="0" zoomScale="108" zoomScaleNormal="108" workbookViewId="0"/>
  </sheetViews>
  <sheetFormatPr baseColWidth="10" defaultColWidth="10.88671875" defaultRowHeight="13.8" x14ac:dyDescent="0.3"/>
  <cols>
    <col min="1" max="1" width="2.109375" style="2" customWidth="1"/>
    <col min="2" max="2" width="29.44140625" style="2" customWidth="1"/>
    <col min="3" max="5" width="11" style="2" customWidth="1"/>
    <col min="6" max="6" width="7.44140625" style="2" customWidth="1"/>
    <col min="7" max="7" width="6.44140625" style="2" customWidth="1"/>
    <col min="8" max="10" width="7.44140625" style="2" customWidth="1"/>
    <col min="11" max="11" width="9" style="2" customWidth="1"/>
    <col min="12" max="12" width="10.88671875" style="2" customWidth="1"/>
    <col min="13" max="16384" width="10.88671875" style="2"/>
  </cols>
  <sheetData>
    <row r="1" spans="2:5" ht="13.5" customHeight="1" x14ac:dyDescent="0.3">
      <c r="B1" s="32"/>
      <c r="C1" s="27"/>
      <c r="D1" s="27"/>
      <c r="E1" s="27"/>
    </row>
    <row r="2" spans="2:5" ht="24" customHeight="1" x14ac:dyDescent="0.3">
      <c r="B2" s="4" t="s">
        <v>170</v>
      </c>
      <c r="C2" s="5"/>
      <c r="D2" s="5"/>
      <c r="E2" s="5"/>
    </row>
    <row r="3" spans="2:5" ht="13.5" customHeight="1" x14ac:dyDescent="0.3">
      <c r="B3" s="209" t="s">
        <v>171</v>
      </c>
      <c r="C3" s="6">
        <v>46387</v>
      </c>
      <c r="D3" s="6">
        <v>46752</v>
      </c>
      <c r="E3" s="6">
        <v>47118</v>
      </c>
    </row>
    <row r="4" spans="2:5" ht="13.5" customHeight="1" x14ac:dyDescent="0.3">
      <c r="B4" s="210"/>
      <c r="C4" s="8" t="s">
        <v>172</v>
      </c>
      <c r="D4" s="8" t="s">
        <v>172</v>
      </c>
      <c r="E4" s="8" t="s">
        <v>172</v>
      </c>
    </row>
    <row r="5" spans="2:5" ht="3" customHeight="1" x14ac:dyDescent="0.3">
      <c r="B5" s="37"/>
      <c r="C5" s="38"/>
      <c r="D5" s="38"/>
      <c r="E5" s="38"/>
    </row>
    <row r="6" spans="2:5" ht="13.5" customHeight="1" x14ac:dyDescent="0.3">
      <c r="B6" s="2" t="s">
        <v>133</v>
      </c>
      <c r="C6" s="2">
        <f>'Compte de Résultat'!D7</f>
        <v>113000</v>
      </c>
      <c r="D6" s="2">
        <f>'Compte de Résultat'!E7</f>
        <v>248000</v>
      </c>
      <c r="E6" s="2">
        <f>'Compte de Résultat'!F7</f>
        <v>417000</v>
      </c>
    </row>
    <row r="7" spans="2:5" ht="13.5" customHeight="1" x14ac:dyDescent="0.3">
      <c r="B7" s="2" t="s">
        <v>173</v>
      </c>
      <c r="C7" s="2">
        <f>+SAISIE!C18+SAISIE!C30+SAISIE!C35+SAISIE!C37</f>
        <v>51000</v>
      </c>
      <c r="D7" s="2">
        <f>+SAISIE!D18+SAISIE!D30+SAISIE!D35+SAISIE!D37</f>
        <v>114048</v>
      </c>
      <c r="E7" s="2">
        <f>+SAISIE!E18+SAISIE!E30+SAISIE!E35+SAISIE!E37</f>
        <v>190728</v>
      </c>
    </row>
    <row r="8" spans="2:5" ht="13.5" customHeight="1" x14ac:dyDescent="0.3">
      <c r="B8" s="2" t="s">
        <v>134</v>
      </c>
      <c r="C8" s="2">
        <f>+C6-C7</f>
        <v>62000</v>
      </c>
      <c r="D8" s="2">
        <f>+D6-D7</f>
        <v>133952</v>
      </c>
      <c r="E8" s="2">
        <f>+E6-E7</f>
        <v>226272</v>
      </c>
    </row>
    <row r="9" spans="2:5" ht="13.5" customHeight="1" x14ac:dyDescent="0.3">
      <c r="B9" s="54" t="s">
        <v>174</v>
      </c>
      <c r="C9" s="50">
        <f>+C8/C6</f>
        <v>0.54867256637168138</v>
      </c>
      <c r="D9" s="50">
        <f>+D8/D6</f>
        <v>0.54012903225806452</v>
      </c>
      <c r="E9" s="50">
        <f>+E8/E6</f>
        <v>0.5426187050359712</v>
      </c>
    </row>
    <row r="10" spans="2:5" ht="13.5" customHeight="1" x14ac:dyDescent="0.3">
      <c r="B10" s="2" t="s">
        <v>136</v>
      </c>
      <c r="C10" s="2">
        <f>'Compte de Résultat'!D22-'Compte de Résultat'!D21</f>
        <v>14850</v>
      </c>
      <c r="D10" s="2">
        <f>'Compte de Résultat'!E22-'Compte de Résultat'!E21</f>
        <v>56802</v>
      </c>
      <c r="E10" s="2">
        <f>'Compte de Résultat'!F22-'Compte de Résultat'!F21</f>
        <v>96372</v>
      </c>
    </row>
    <row r="11" spans="2:5" s="3" customFormat="1" ht="13.5" customHeight="1" x14ac:dyDescent="0.3">
      <c r="B11" s="54" t="s">
        <v>175</v>
      </c>
      <c r="C11" s="87">
        <f>C10/C6</f>
        <v>0.13141592920353981</v>
      </c>
      <c r="D11" s="87">
        <f>D10/D6</f>
        <v>0.22904032258064516</v>
      </c>
      <c r="E11" s="87">
        <f>E10/E6</f>
        <v>0.23110791366906475</v>
      </c>
    </row>
    <row r="12" spans="2:5" ht="13.5" customHeight="1" x14ac:dyDescent="0.3">
      <c r="B12" s="2" t="s">
        <v>176</v>
      </c>
      <c r="C12" s="2">
        <f>'Compte de Résultat'!D22</f>
        <v>13016.666666666666</v>
      </c>
      <c r="D12" s="2">
        <f>'Compte de Résultat'!E22</f>
        <v>56135.333333333336</v>
      </c>
      <c r="E12" s="2">
        <f>'Compte de Résultat'!F22</f>
        <v>95538.666666666672</v>
      </c>
    </row>
    <row r="13" spans="2:5" ht="13.5" customHeight="1" x14ac:dyDescent="0.3">
      <c r="B13" s="2" t="s">
        <v>177</v>
      </c>
      <c r="C13" s="2">
        <f>+Personnel!Q19</f>
        <v>1</v>
      </c>
      <c r="D13" s="2">
        <f>+Personnel!AF19</f>
        <v>2</v>
      </c>
      <c r="E13" s="2">
        <f>+Personnel!AU19</f>
        <v>3</v>
      </c>
    </row>
    <row r="14" spans="2:5" ht="13.5" customHeight="1" x14ac:dyDescent="0.3">
      <c r="B14" s="2" t="s">
        <v>147</v>
      </c>
      <c r="C14" s="2">
        <f>'Prévisions mensuelles'!O129</f>
        <v>31630.15676691652</v>
      </c>
      <c r="D14" s="2">
        <f>'Prévisions mensuelles'!AB129</f>
        <v>72051.139702650224</v>
      </c>
      <c r="E14" s="2">
        <f>'Prévisions mensuelles'!AO129</f>
        <v>137165.29479682446</v>
      </c>
    </row>
    <row r="15" spans="2:5" ht="13.5" customHeight="1" x14ac:dyDescent="0.3">
      <c r="B15" s="2" t="s">
        <v>178</v>
      </c>
      <c r="C15" s="2">
        <f>MIN('Prévisions mensuelles'!D129:O129)</f>
        <v>25516.666666666664</v>
      </c>
      <c r="D15" s="2">
        <f>MIN('Prévisions mensuelles'!Q129:AB129)</f>
        <v>27467.5211783618</v>
      </c>
      <c r="E15" s="2">
        <f>MIN('Prévisions mensuelles'!AD129:AO129)</f>
        <v>69813.477825092647</v>
      </c>
    </row>
    <row r="16" spans="2:5" ht="13.5" customHeight="1" x14ac:dyDescent="0.3">
      <c r="B16" s="2" t="s">
        <v>150</v>
      </c>
      <c r="C16" s="2">
        <f>Bilan!D24</f>
        <v>20434.591585212362</v>
      </c>
      <c r="D16" s="2">
        <f>Bilan!E24</f>
        <v>66330.176559568834</v>
      </c>
      <c r="E16" s="2">
        <f>Bilan!F24</f>
        <v>141881.91148109967</v>
      </c>
    </row>
    <row r="17" spans="2:5" ht="13.5" customHeight="1" x14ac:dyDescent="0.3">
      <c r="B17" s="2" t="s">
        <v>152</v>
      </c>
      <c r="C17" s="2">
        <f>+Bilan!D43</f>
        <v>1137.7681516292305</v>
      </c>
      <c r="D17" s="2">
        <f>+Bilan!E43</f>
        <v>1279.036856918694</v>
      </c>
      <c r="E17" s="2">
        <f>+Bilan!F43</f>
        <v>6049.9500176085421</v>
      </c>
    </row>
    <row r="18" spans="2:5" ht="13.5" customHeight="1" x14ac:dyDescent="0.3">
      <c r="B18" s="88" t="s">
        <v>179</v>
      </c>
      <c r="C18" s="88">
        <f>+'Plan de Financement'!D8</f>
        <v>1137.7681516292305</v>
      </c>
      <c r="D18" s="88">
        <f>+'Plan de Financement'!E8</f>
        <v>141.26870528946347</v>
      </c>
      <c r="E18" s="88">
        <f>+'Plan de Financement'!F8</f>
        <v>4770.9131606898482</v>
      </c>
    </row>
    <row r="25" spans="2:5" ht="17.25" customHeight="1" x14ac:dyDescent="0.3">
      <c r="B25" s="28"/>
    </row>
    <row r="26" spans="2:5" ht="13.5" customHeight="1" x14ac:dyDescent="0.3">
      <c r="B26" s="29"/>
    </row>
    <row r="27" spans="2:5" ht="13.5" customHeight="1" x14ac:dyDescent="0.3">
      <c r="B27" s="29"/>
    </row>
    <row r="28" spans="2:5" ht="13.5" customHeight="1" x14ac:dyDescent="0.3">
      <c r="B28" s="29"/>
    </row>
    <row r="30" spans="2:5" ht="17.25" customHeight="1" x14ac:dyDescent="0.3">
      <c r="B30" s="28"/>
    </row>
    <row r="31" spans="2:5" ht="13.5" customHeight="1" x14ac:dyDescent="0.3">
      <c r="B31" s="29"/>
    </row>
    <row r="32" spans="2:5" ht="13.5" customHeight="1" x14ac:dyDescent="0.3">
      <c r="B32" s="29"/>
    </row>
    <row r="33" spans="2:2" ht="13.5" customHeight="1" x14ac:dyDescent="0.3">
      <c r="B33" s="29"/>
    </row>
    <row r="35" spans="2:2" ht="17.25" customHeight="1" x14ac:dyDescent="0.3">
      <c r="B35" s="28"/>
    </row>
    <row r="36" spans="2:2" ht="13.5" customHeight="1" x14ac:dyDescent="0.3">
      <c r="B36" s="29"/>
    </row>
    <row r="37" spans="2:2" ht="13.5" customHeight="1" x14ac:dyDescent="0.3">
      <c r="B37" s="29"/>
    </row>
    <row r="38" spans="2:2" ht="13.5" customHeight="1" x14ac:dyDescent="0.3">
      <c r="B38" s="29"/>
    </row>
    <row r="40" spans="2:2" ht="17.25" customHeight="1" x14ac:dyDescent="0.3">
      <c r="B40" s="28"/>
    </row>
    <row r="41" spans="2:2" ht="13.5" customHeight="1" x14ac:dyDescent="0.3">
      <c r="B41" s="29"/>
    </row>
    <row r="42" spans="2:2" ht="13.5" customHeight="1" x14ac:dyDescent="0.3">
      <c r="B42" s="29"/>
    </row>
    <row r="44" spans="2:2" ht="17.25" customHeight="1" x14ac:dyDescent="0.3">
      <c r="B44" s="28"/>
    </row>
    <row r="45" spans="2:2" ht="13.5" customHeight="1" x14ac:dyDescent="0.3">
      <c r="B45" s="29"/>
    </row>
    <row r="46" spans="2:2" ht="13.5" customHeight="1" x14ac:dyDescent="0.3">
      <c r="B46" s="29"/>
    </row>
    <row r="48" spans="2:2" ht="17.25" customHeight="1" x14ac:dyDescent="0.3">
      <c r="B48" s="28"/>
    </row>
    <row r="49" spans="2:2" ht="13.5" customHeight="1" x14ac:dyDescent="0.3">
      <c r="B49" s="29"/>
    </row>
    <row r="50" spans="2:2" ht="13.5" customHeight="1" x14ac:dyDescent="0.3">
      <c r="B50" s="29"/>
    </row>
    <row r="52" spans="2:2" ht="17.25" customHeight="1" x14ac:dyDescent="0.3">
      <c r="B52" s="28"/>
    </row>
    <row r="53" spans="2:2" ht="13.5" customHeight="1" x14ac:dyDescent="0.3">
      <c r="B53" s="29"/>
    </row>
    <row r="54" spans="2:2" ht="13.5" customHeight="1" x14ac:dyDescent="0.3">
      <c r="B54" s="29"/>
    </row>
    <row r="56" spans="2:2" ht="17.25" customHeight="1" x14ac:dyDescent="0.3">
      <c r="B56" s="28"/>
    </row>
    <row r="57" spans="2:2" ht="13.5" customHeight="1" x14ac:dyDescent="0.3">
      <c r="B57" s="29"/>
    </row>
    <row r="58" spans="2:2" ht="13.5" customHeight="1" x14ac:dyDescent="0.3">
      <c r="B58" s="29"/>
    </row>
    <row r="60" spans="2:2" ht="17.25" customHeight="1" x14ac:dyDescent="0.3">
      <c r="B60" s="28"/>
    </row>
    <row r="61" spans="2:2" ht="13.5" customHeight="1" x14ac:dyDescent="0.3">
      <c r="B61" s="29"/>
    </row>
    <row r="62" spans="2:2" ht="13.5" customHeight="1" x14ac:dyDescent="0.3">
      <c r="B62" s="30"/>
    </row>
    <row r="63" spans="2:2" ht="13.5" customHeight="1" x14ac:dyDescent="0.3">
      <c r="B63" s="30"/>
    </row>
    <row r="64" spans="2:2" ht="13.5" customHeight="1" x14ac:dyDescent="0.3">
      <c r="B64" s="30"/>
    </row>
    <row r="65" spans="2:2" ht="13.5" customHeight="1" x14ac:dyDescent="0.3">
      <c r="B65" s="30"/>
    </row>
    <row r="67" spans="2:2" ht="17.25" customHeight="1" x14ac:dyDescent="0.3">
      <c r="B67" s="28"/>
    </row>
  </sheetData>
  <sheetProtection algorithmName="SHA-512" hashValue="Sr3vx+Jke/WL3Zuu/wQX7JxTzbycvcM0VS3Z89Z62nSwfxfnm0mK5ou53U5e+FHTkVd/QmjdV+nS3lUNpqJXKA==" saltValue="ya0dYdFLVfnPHFPcTzCDiQ==" spinCount="100000" sheet="1" objects="1" scenarios="1"/>
  <mergeCells count="1">
    <mergeCell ref="B3:B4"/>
  </mergeCells>
  <pageMargins left="0.74791666666666701" right="0.74791666666666701" top="0.82708333333333295" bottom="0.35416666666666702" header="0.35416666666666702" footer="0.196527777777778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2:J87"/>
  <sheetViews>
    <sheetView showGridLines="0" zoomScale="82" zoomScaleNormal="93" workbookViewId="0">
      <pane xSplit="1" ySplit="4" topLeftCell="B5" activePane="bottomRight" state="frozen"/>
      <selection activeCell="U36" sqref="U36"/>
      <selection pane="topRight" activeCell="U36" sqref="U36"/>
      <selection pane="bottomLeft" activeCell="U36" sqref="U36"/>
      <selection pane="bottomRight"/>
    </sheetView>
  </sheetViews>
  <sheetFormatPr baseColWidth="10" defaultColWidth="10.88671875" defaultRowHeight="13.8" outlineLevelRow="1" x14ac:dyDescent="0.3"/>
  <cols>
    <col min="1" max="1" width="2.6640625" style="2" customWidth="1"/>
    <col min="2" max="2" width="33.88671875" style="2" customWidth="1"/>
    <col min="3" max="3" width="6.88671875" style="2" hidden="1" customWidth="1"/>
    <col min="4" max="6" width="10.5546875" style="2" customWidth="1"/>
    <col min="7" max="8" width="7.44140625" style="2" customWidth="1"/>
    <col min="9" max="9" width="6.44140625" style="2" customWidth="1"/>
    <col min="10" max="11" width="7.44140625" style="2" customWidth="1"/>
    <col min="12" max="16384" width="10.88671875" style="2"/>
  </cols>
  <sheetData>
    <row r="2" spans="2:10" ht="21.75" customHeight="1" x14ac:dyDescent="0.3">
      <c r="B2" s="4" t="s">
        <v>180</v>
      </c>
      <c r="C2" s="5"/>
      <c r="D2" s="5"/>
      <c r="E2" s="5"/>
      <c r="F2" s="5"/>
    </row>
    <row r="3" spans="2:10" ht="13.5" customHeight="1" x14ac:dyDescent="0.3">
      <c r="B3" s="209" t="s">
        <v>181</v>
      </c>
      <c r="C3" s="6">
        <v>46022</v>
      </c>
      <c r="D3" s="7">
        <f>EOMONTH(C3,12)</f>
        <v>46387</v>
      </c>
      <c r="E3" s="6">
        <f>EOMONTH(D3,12)</f>
        <v>46752</v>
      </c>
      <c r="F3" s="6">
        <f>EOMONTH(E3,12)</f>
        <v>47118</v>
      </c>
    </row>
    <row r="4" spans="2:10" ht="13.5" customHeight="1" x14ac:dyDescent="0.3">
      <c r="B4" s="210"/>
      <c r="C4" s="8" t="s">
        <v>172</v>
      </c>
      <c r="D4" s="9" t="s">
        <v>172</v>
      </c>
      <c r="E4" s="8" t="s">
        <v>172</v>
      </c>
      <c r="F4" s="8" t="s">
        <v>172</v>
      </c>
    </row>
    <row r="5" spans="2:10" ht="3.75" customHeight="1" x14ac:dyDescent="0.3">
      <c r="B5" s="11"/>
      <c r="C5" s="11"/>
      <c r="D5" s="12"/>
      <c r="E5" s="11"/>
      <c r="F5" s="11"/>
    </row>
    <row r="6" spans="2:10" ht="13.5" customHeight="1" x14ac:dyDescent="0.3">
      <c r="B6" s="11" t="s">
        <v>183</v>
      </c>
      <c r="D6" s="14">
        <f>C6+'Prévisions mensuelles'!C79</f>
        <v>0</v>
      </c>
      <c r="E6" s="2">
        <f>D6+'Prévisions mensuelles'!P79</f>
        <v>0</v>
      </c>
      <c r="F6" s="2">
        <f>E6+'Prévisions mensuelles'!AC79</f>
        <v>0</v>
      </c>
    </row>
    <row r="7" spans="2:10" ht="13.5" customHeight="1" x14ac:dyDescent="0.3">
      <c r="B7" s="11" t="s">
        <v>184</v>
      </c>
      <c r="D7" s="14">
        <f>+C7+SUM('Prévisions mensuelles'!C80:C83)</f>
        <v>5500</v>
      </c>
      <c r="E7" s="14">
        <f>+D7+SUM('Prévisions mensuelles'!P80:P83)</f>
        <v>7500</v>
      </c>
      <c r="F7" s="14">
        <f>+E7+SUM('Prévisions mensuelles'!AC80:AC83)</f>
        <v>10000</v>
      </c>
    </row>
    <row r="8" spans="2:10" ht="13.5" customHeight="1" x14ac:dyDescent="0.3">
      <c r="B8" s="11" t="s">
        <v>185</v>
      </c>
      <c r="D8" s="14">
        <f>C8+'Compte de Résultat'!D21</f>
        <v>-1833.3333333333337</v>
      </c>
      <c r="E8" s="2">
        <f>D8+'Compte de Résultat'!E21</f>
        <v>-2500.0000000000005</v>
      </c>
      <c r="F8" s="2">
        <f>E8+'Compte de Résultat'!F21</f>
        <v>-3333.3333333333339</v>
      </c>
      <c r="J8" s="15"/>
    </row>
    <row r="9" spans="2:10" ht="13.5" customHeight="1" x14ac:dyDescent="0.3">
      <c r="B9" s="11" t="s">
        <v>186</v>
      </c>
      <c r="D9" s="14">
        <f>C9+'Prévisions mensuelles'!C84</f>
        <v>0</v>
      </c>
      <c r="E9" s="2">
        <f>D9+'Prévisions mensuelles'!P84</f>
        <v>0</v>
      </c>
      <c r="F9" s="11">
        <f>E9+'Prévisions mensuelles'!AC84</f>
        <v>0</v>
      </c>
    </row>
    <row r="10" spans="2:10" ht="13.5" customHeight="1" x14ac:dyDescent="0.3">
      <c r="B10" s="16" t="s">
        <v>187</v>
      </c>
      <c r="C10" s="16">
        <f>SUM(C6:C9)</f>
        <v>0</v>
      </c>
      <c r="D10" s="17">
        <f>SUM(D6:D9)</f>
        <v>3666.6666666666661</v>
      </c>
      <c r="E10" s="16">
        <f>SUM(E6:E9)</f>
        <v>5000</v>
      </c>
      <c r="F10" s="16">
        <f>SUM(F6:F9)</f>
        <v>6666.6666666666661</v>
      </c>
    </row>
    <row r="11" spans="2:10" ht="3.75" customHeight="1" x14ac:dyDescent="0.3">
      <c r="B11" s="18"/>
      <c r="C11" s="18"/>
      <c r="D11" s="19"/>
      <c r="E11" s="18"/>
      <c r="F11" s="18"/>
    </row>
    <row r="12" spans="2:10" ht="13.5" customHeight="1" x14ac:dyDescent="0.3">
      <c r="B12" s="11" t="s">
        <v>188</v>
      </c>
      <c r="C12" s="11"/>
      <c r="D12" s="12">
        <f>$C12+SUMIFS('Prévisions mensuelles'!36:36,'Prévisions mensuelles'!$1:$1,"&lt;="&amp;D$3)*1.2-SUMIFS('Prévisions mensuelles'!$113:$113,'Prévisions mensuelles'!$1:$1,"&lt;="&amp;D$3)</f>
        <v>11300.000000000044</v>
      </c>
      <c r="E12" s="12">
        <f>$C12+SUMIFS('Prévisions mensuelles'!36:36,'Prévisions mensuelles'!$1:$1,"&lt;="&amp;E$3)*1.2-SUMIFS('Prévisions mensuelles'!$113:$113,'Prévisions mensuelles'!$1:$1,"&lt;="&amp;E$3)</f>
        <v>24800.000000000058</v>
      </c>
      <c r="F12" s="12">
        <f>$C12+SUMIFS('Prévisions mensuelles'!36:36,'Prévisions mensuelles'!$1:$1,"&lt;="&amp;F$3)*1.2-SUMIFS('Prévisions mensuelles'!$113:$113,'Prévisions mensuelles'!$1:$1,"&lt;="&amp;F$3)</f>
        <v>41700</v>
      </c>
    </row>
    <row r="13" spans="2:10" ht="13.5" customHeight="1" x14ac:dyDescent="0.3">
      <c r="B13" s="11" t="s">
        <v>189</v>
      </c>
      <c r="C13" s="11"/>
      <c r="D13" s="12">
        <f>C13+IF(SUMIFS('Prévisions mensuelles'!$70:$70,'Prévisions mensuelles'!$1:$1,"&lt;="&amp;D$3)-SUMIFS('Prévisions mensuelles'!$125:$125,'Prévisions mensuelles'!$1:$1,"&lt;="&amp;D$3)&gt;0,0,SUMIFS('Prévisions mensuelles'!$70:$70,'Prévisions mensuelles'!$1:$1,"&lt;="&amp;D$3)-SUMIFS('Prévisions mensuelles'!$125:$125,'Prévisions mensuelles'!$1:$1,"&lt;="&amp;D$3))</f>
        <v>0</v>
      </c>
      <c r="E13" s="11">
        <f>$C13+IF(SUMIFS('Prévisions mensuelles'!$70:$70,'Prévisions mensuelles'!$1:$1,"&lt;="&amp;E$3)-SUMIFS('Prévisions mensuelles'!$125:$125,'Prévisions mensuelles'!$1:$1,"&lt;="&amp;E$3)&gt;0,0,SUMIFS('Prévisions mensuelles'!$70:$70,'Prévisions mensuelles'!$1:$1,"&lt;="&amp;E$3)-SUMIFS('Prévisions mensuelles'!$125:$125,'Prévisions mensuelles'!$1:$1,"&lt;="&amp;E$3))</f>
        <v>0</v>
      </c>
      <c r="F13" s="11">
        <f>$C13+IF(SUMIFS('Prévisions mensuelles'!$70:$70,'Prévisions mensuelles'!$1:$1,"&lt;="&amp;F$3)-SUMIFS('Prévisions mensuelles'!$125:$125,'Prévisions mensuelles'!$1:$1,"&lt;="&amp;F$3)&gt;0,0,SUMIFS('Prévisions mensuelles'!$70:$70,'Prévisions mensuelles'!$1:$1,"&lt;="&amp;F$3)-SUMIFS('Prévisions mensuelles'!$125:$125,'Prévisions mensuelles'!$1:$1,"&lt;="&amp;F$3))</f>
        <v>0</v>
      </c>
    </row>
    <row r="14" spans="2:10" ht="13.5" customHeight="1" x14ac:dyDescent="0.3">
      <c r="B14" s="11" t="s">
        <v>190</v>
      </c>
      <c r="C14" s="11"/>
      <c r="D14" s="12">
        <f>-SUMIFS('Prévisions mensuelles'!140:140,'Prévisions mensuelles'!1:1,D$3)</f>
        <v>0</v>
      </c>
      <c r="E14" s="11">
        <f>-SUMIFS('Prévisions mensuelles'!140:140,'Prévisions mensuelles'!1:1,E$3)</f>
        <v>0</v>
      </c>
      <c r="F14" s="11">
        <f>-SUMIFS('Prévisions mensuelles'!140:140,'Prévisions mensuelles'!1:1,F$3)</f>
        <v>0</v>
      </c>
    </row>
    <row r="15" spans="2:10" ht="13.5" customHeight="1" x14ac:dyDescent="0.3">
      <c r="B15" s="11" t="s">
        <v>191</v>
      </c>
      <c r="C15" s="11"/>
      <c r="D15" s="12">
        <f>IF('Prévisions mensuelles'!C129&gt;0,'Prévisions mensuelles'!C129,0)</f>
        <v>31630.15676691652</v>
      </c>
      <c r="E15" s="11">
        <f>IF('Prévisions mensuelles'!P129&gt;0,'Prévisions mensuelles'!P129,0)</f>
        <v>72051.139702650224</v>
      </c>
      <c r="F15" s="11">
        <f>IF('Prévisions mensuelles'!AC129&gt;0,'Prévisions mensuelles'!AC129,0)</f>
        <v>137165.29479682446</v>
      </c>
    </row>
    <row r="16" spans="2:10" ht="13.5" customHeight="1" x14ac:dyDescent="0.3">
      <c r="B16" s="11" t="s">
        <v>192</v>
      </c>
      <c r="C16" s="11"/>
      <c r="D16" s="12">
        <f>C16+0</f>
        <v>0</v>
      </c>
      <c r="E16" s="20">
        <f>D16+0</f>
        <v>0</v>
      </c>
      <c r="F16" s="20">
        <f>E16+0</f>
        <v>0</v>
      </c>
    </row>
    <row r="17" spans="2:8" ht="13.5" customHeight="1" x14ac:dyDescent="0.3">
      <c r="B17" s="16" t="s">
        <v>193</v>
      </c>
      <c r="C17" s="16">
        <f>SUM(C12:C16)</f>
        <v>0</v>
      </c>
      <c r="D17" s="17">
        <f>SUM(D12:D16)</f>
        <v>42930.156766916567</v>
      </c>
      <c r="E17" s="21">
        <f>SUM(E12:E16)</f>
        <v>96851.139702650282</v>
      </c>
      <c r="F17" s="21">
        <f>SUM(F12:F16)</f>
        <v>178865.29479682446</v>
      </c>
    </row>
    <row r="18" spans="2:8" ht="13.5" customHeight="1" x14ac:dyDescent="0.3">
      <c r="B18" s="22" t="s">
        <v>194</v>
      </c>
      <c r="C18" s="22">
        <f>C10+C17</f>
        <v>0</v>
      </c>
      <c r="D18" s="23">
        <f>D10+D17</f>
        <v>46596.823433583231</v>
      </c>
      <c r="E18" s="22">
        <f>E10+E17</f>
        <v>101851.13970265028</v>
      </c>
      <c r="F18" s="22">
        <f>F10+F17</f>
        <v>185531.96146349111</v>
      </c>
    </row>
    <row r="19" spans="2:8" ht="13.5" customHeight="1" x14ac:dyDescent="0.3">
      <c r="D19" s="14"/>
    </row>
    <row r="20" spans="2:8" ht="13.5" customHeight="1" x14ac:dyDescent="0.3">
      <c r="B20" s="11" t="s">
        <v>195</v>
      </c>
      <c r="C20" s="11"/>
      <c r="D20" s="12">
        <f>C20+'Prévisions mensuelles'!C112</f>
        <v>10000</v>
      </c>
      <c r="E20" s="11">
        <f>D20+'Prévisions mensuelles'!P112</f>
        <v>10000</v>
      </c>
      <c r="F20" s="11">
        <f>E20+'Prévisions mensuelles'!E112</f>
        <v>10000</v>
      </c>
    </row>
    <row r="21" spans="2:8" ht="13.5" customHeight="1" x14ac:dyDescent="0.3">
      <c r="B21" s="11" t="s">
        <v>196</v>
      </c>
      <c r="C21" s="11"/>
      <c r="D21" s="12">
        <f>C21+C22</f>
        <v>0</v>
      </c>
      <c r="E21" s="11">
        <f>D21+D22</f>
        <v>10434.591585212362</v>
      </c>
      <c r="F21" s="11">
        <f>E21+E22</f>
        <v>56330.176559568834</v>
      </c>
    </row>
    <row r="22" spans="2:8" ht="13.5" customHeight="1" x14ac:dyDescent="0.3">
      <c r="B22" s="11" t="s">
        <v>197</v>
      </c>
      <c r="C22" s="11"/>
      <c r="D22" s="12">
        <f>'Compte de Résultat'!D31</f>
        <v>10434.591585212362</v>
      </c>
      <c r="E22" s="11">
        <f>'Compte de Résultat'!E31</f>
        <v>45895.584974356476</v>
      </c>
      <c r="F22" s="11">
        <f>'Compte de Résultat'!F31</f>
        <v>75551.73492153082</v>
      </c>
    </row>
    <row r="23" spans="2:8" ht="13.5" customHeight="1" x14ac:dyDescent="0.3">
      <c r="B23" s="11" t="s">
        <v>198</v>
      </c>
      <c r="C23" s="11"/>
      <c r="D23" s="12">
        <f>C23-'Compte de Résultat'!D29</f>
        <v>0</v>
      </c>
      <c r="E23" s="11">
        <f>D23-'Compte de Résultat'!E29</f>
        <v>0</v>
      </c>
      <c r="F23" s="11">
        <f>E23-'Compte de Résultat'!F29</f>
        <v>0</v>
      </c>
    </row>
    <row r="24" spans="2:8" ht="13.5" customHeight="1" x14ac:dyDescent="0.3">
      <c r="B24" s="16" t="s">
        <v>199</v>
      </c>
      <c r="C24" s="16">
        <f>SUM(C20:C23)</f>
        <v>0</v>
      </c>
      <c r="D24" s="17">
        <f>SUM(D20:D23)</f>
        <v>20434.591585212362</v>
      </c>
      <c r="E24" s="16">
        <f>SUM(E20:E23)</f>
        <v>66330.176559568834</v>
      </c>
      <c r="F24" s="16">
        <f>SUM(F20:F23)</f>
        <v>141881.91148109967</v>
      </c>
    </row>
    <row r="25" spans="2:8" ht="3.75" customHeight="1" x14ac:dyDescent="0.3">
      <c r="B25" s="18"/>
      <c r="C25" s="18"/>
      <c r="D25" s="19"/>
      <c r="E25" s="18"/>
      <c r="F25" s="18"/>
    </row>
    <row r="26" spans="2:8" ht="13.5" customHeight="1" x14ac:dyDescent="0.3">
      <c r="B26" s="11" t="s">
        <v>200</v>
      </c>
      <c r="C26" s="11"/>
      <c r="D26" s="12">
        <f>C26+SUMIFS('Prévisions mensuelles'!$115:$115,'Prévisions mensuelles'!$1:$1,"&lt;="&amp;D$3)-SUMIFS('Prévisions mensuelles'!$118:$118,'Prévisions mensuelles'!$1:$1,"&lt;="&amp;D$3)</f>
        <v>16000</v>
      </c>
      <c r="E26" s="11">
        <f>$C26+SUMIFS('Prévisions mensuelles'!$115:$115,'Prévisions mensuelles'!$1:$1,"&lt;="&amp;E$3)-SUMIFS('Prévisions mensuelles'!$118:$118,'Prévisions mensuelles'!$1:$1,"&lt;="&amp;E$3)</f>
        <v>12000.000000000004</v>
      </c>
      <c r="F26" s="11">
        <f>$C26+SUMIFS('Prévisions mensuelles'!$115:$115,'Prévisions mensuelles'!$1:$1,"&lt;="&amp;F$3)-SUMIFS('Prévisions mensuelles'!$118:$118,'Prévisions mensuelles'!$1:$1,"&lt;="&amp;F$3)</f>
        <v>7999.9999999999964</v>
      </c>
    </row>
    <row r="27" spans="2:8" ht="13.5" customHeight="1" x14ac:dyDescent="0.3">
      <c r="B27" s="11" t="s">
        <v>201</v>
      </c>
      <c r="C27" s="11"/>
      <c r="D27" s="12">
        <f>C27+IF('Prévisions mensuelles'!C129&lt;0,-'Prévisions mensuelles'!C129,0)</f>
        <v>0</v>
      </c>
      <c r="E27" s="11">
        <f>D27+IF('Prévisions mensuelles'!P129&lt;0,-'Prévisions mensuelles'!P129,0)</f>
        <v>0</v>
      </c>
      <c r="F27" s="11">
        <f>E27+IF('Prévisions mensuelles'!Q129&lt;0,-'Prévisions mensuelles'!Q129,0)</f>
        <v>0</v>
      </c>
    </row>
    <row r="28" spans="2:8" ht="13.5" customHeight="1" x14ac:dyDescent="0.3">
      <c r="B28" s="11" t="s">
        <v>202</v>
      </c>
      <c r="C28" s="11"/>
      <c r="D28" s="12">
        <f>C28</f>
        <v>0</v>
      </c>
      <c r="E28" s="11">
        <f>D28</f>
        <v>0</v>
      </c>
      <c r="F28" s="11">
        <f>E28</f>
        <v>0</v>
      </c>
    </row>
    <row r="29" spans="2:8" ht="13.5" customHeight="1" x14ac:dyDescent="0.3">
      <c r="B29" s="11" t="s">
        <v>203</v>
      </c>
      <c r="C29" s="11"/>
      <c r="D29" s="12">
        <f>C29+SUMIFS('Prévisions mensuelles'!$42:$42,'Prévisions mensuelles'!$1:$1,"&lt;="&amp;D$3)*1.2+SUMIFS('Prévisions mensuelles'!$53:$53,'Prévisions mensuelles'!$1:$1,"&lt;="&amp;D$3)*1.2+SUMIFS('Prévisions mensuelles'!$54:$54,'Prévisions mensuelles'!$1:$1,"&lt;="&amp;D$3)*1.2-SUMIFS('Prévisions mensuelles'!$120:$120,'Prévisions mensuelles'!$1:$1,"&lt;="&amp;D$3)</f>
        <v>1870.0000000000036</v>
      </c>
      <c r="E29" s="11">
        <f>$C29+SUMIFS('Prévisions mensuelles'!$42:$42,'Prévisions mensuelles'!$1:$1,"&lt;="&amp;E$3)*1.2+SUMIFS('Prévisions mensuelles'!$53:$53,'Prévisions mensuelles'!$1:$1,"&lt;="&amp;E$3)*1.2+SUMIFS('Prévisions mensuelles'!$54:$54,'Prévisions mensuelles'!$1:$1,"&lt;="&amp;E$3)*1.2-SUMIFS('Prévisions mensuelles'!$120:$120,'Prévisions mensuelles'!$1:$1,"&lt;="&amp;E$3)</f>
        <v>1970.0000000000073</v>
      </c>
      <c r="F29" s="11">
        <f>$C29+SUMIFS('Prévisions mensuelles'!$42:$42,'Prévisions mensuelles'!$1:$1,"&lt;="&amp;F$3)*1.2+SUMIFS('Prévisions mensuelles'!$53:$53,'Prévisions mensuelles'!$1:$1,"&lt;="&amp;F$3)*1.2+SUMIFS('Prévisions mensuelles'!$54:$54,'Prévisions mensuelles'!$1:$1,"&lt;="&amp;F$3)*1.2-SUMIFS('Prévisions mensuelles'!$120:$120,'Prévisions mensuelles'!$1:$1,"&lt;="&amp;F$3)</f>
        <v>2170</v>
      </c>
    </row>
    <row r="30" spans="2:8" ht="13.5" customHeight="1" x14ac:dyDescent="0.3">
      <c r="B30" s="11" t="s">
        <v>204</v>
      </c>
      <c r="C30" s="11"/>
      <c r="D30" s="12">
        <f>SUMIFS('Prévisions mensuelles'!$85:$85,'Prévisions mensuelles'!$1:$1,"&lt;="&amp;D$3)*1.2-SUMIFS('Prévisions mensuelles'!$119:$119,'Prévisions mensuelles'!$1:$1,"&lt;="&amp;D$3)</f>
        <v>549.99999999999909</v>
      </c>
      <c r="E30" s="11">
        <f>SUMIFS('Prévisions mensuelles'!$85:$85,'Prévisions mensuelles'!$1:$1,"&lt;="&amp;E$3)*1.2-SUMIFS('Prévisions mensuelles'!$119:$119,'Prévisions mensuelles'!$1:$1,"&lt;="&amp;E$3)</f>
        <v>200.00000000000364</v>
      </c>
      <c r="F30" s="11">
        <f>SUMIFS('Prévisions mensuelles'!$85:$85,'Prévisions mensuelles'!$1:$1,"&lt;="&amp;F$3)*1.2-SUMIFS('Prévisions mensuelles'!$119:$119,'Prévisions mensuelles'!$1:$1,"&lt;="&amp;F$3)</f>
        <v>250.00000000000909</v>
      </c>
    </row>
    <row r="31" spans="2:8" ht="13.5" customHeight="1" x14ac:dyDescent="0.3">
      <c r="B31" s="11" t="s">
        <v>205</v>
      </c>
      <c r="C31" s="11"/>
      <c r="D31" s="12">
        <f>C31+'Prévisions mensuelles'!Q123</f>
        <v>2537.5</v>
      </c>
      <c r="E31" s="11">
        <f>$C31+'Prévisions mensuelles'!AD123</f>
        <v>5655.5</v>
      </c>
      <c r="F31" s="11">
        <f>$C31+'Prévisions mensuelles'!AE123</f>
        <v>9848</v>
      </c>
    </row>
    <row r="32" spans="2:8" ht="13.5" customHeight="1" x14ac:dyDescent="0.3">
      <c r="B32" s="11" t="s">
        <v>189</v>
      </c>
      <c r="C32" s="11"/>
      <c r="D32" s="12">
        <f>C32+IF(SUMIFS('Prévisions mensuelles'!$70:$70,'Prévisions mensuelles'!$1:$1,"&lt;="&amp;D$3)-SUMIFS('Prévisions mensuelles'!$125:$125,'Prévisions mensuelles'!$1:$1,"&lt;="&amp;D$3)&lt;0,0,SUMIFS('Prévisions mensuelles'!$70:$70,'Prévisions mensuelles'!$1:$1,"&lt;="&amp;D$3)-SUMIFS('Prévisions mensuelles'!$125:$125,'Prévisions mensuelles'!$1:$1,"&lt;="&amp;D$3))</f>
        <v>1841.3985150374763</v>
      </c>
      <c r="E32" s="11">
        <f>$C32+IF(SUMIFS('Prévisions mensuelles'!$70:$70,'Prévisions mensuelles'!$1:$1,"&lt;="&amp;E$3)-SUMIFS('Prévisions mensuelles'!$125:$125,'Prévisions mensuelles'!$1:$1,"&lt;="&amp;E$3)&lt;0,0,SUMIFS('Prévisions mensuelles'!$70:$70,'Prévisions mensuelles'!$1:$1,"&lt;="&amp;E$3)-SUMIFS('Prévisions mensuelles'!$125:$125,'Prévisions mensuelles'!$1:$1,"&lt;="&amp;E$3))</f>
        <v>7790.4631430813524</v>
      </c>
      <c r="F32" s="11">
        <f>$C32+IF(SUMIFS('Prévisions mensuelles'!$70:$70,'Prévisions mensuelles'!$1:$1,"&lt;="&amp;F$3)-SUMIFS('Prévisions mensuelles'!$125:$125,'Prévisions mensuelles'!$1:$1,"&lt;="&amp;F$3)&lt;0,0,SUMIFS('Prévisions mensuelles'!$70:$70,'Prévisions mensuelles'!$1:$1,"&lt;="&amp;F$3)-SUMIFS('Prévisions mensuelles'!$125:$125,'Prévisions mensuelles'!$1:$1,"&lt;="&amp;F$3))</f>
        <v>9885.3833157247827</v>
      </c>
      <c r="H32" s="15"/>
    </row>
    <row r="33" spans="2:7" ht="13.5" customHeight="1" x14ac:dyDescent="0.3">
      <c r="B33" s="11" t="s">
        <v>190</v>
      </c>
      <c r="C33" s="11"/>
      <c r="D33" s="12">
        <f>C33+SUMIFS('Prévisions mensuelles'!$141:$141,'Prévisions mensuelles'!$1:$1,D$3)+SUMIFS('Prévisions mensuelles'!$143:$143,'Prévisions mensuelles'!$1:$1,D$3)+'Prévisions mensuelles'!C143</f>
        <v>3363.3333333333339</v>
      </c>
      <c r="E33" s="11">
        <f>$D33+SUMIFS('Prévisions mensuelles'!$141:$141,'Prévisions mensuelles'!$1:$1,E$3)+SUMIFS('Prévisions mensuelles'!$143:$143,'Prévisions mensuelles'!$1:$1,E$3)+'Prévisions mensuelles'!P143-'Prévisions mensuelles'!O126</f>
        <v>7905</v>
      </c>
      <c r="F33" s="11">
        <f>$E33+SUMIFS('Prévisions mensuelles'!$141:$141,'Prévisions mensuelles'!$1:$1,F$3)+SUMIFS('Prévisions mensuelles'!$143:$143,'Prévisions mensuelles'!$1:$1,F$3)+'Prévisions mensuelles'!AC143-'Prévisions mensuelles'!AB141</f>
        <v>13496.666666666666</v>
      </c>
    </row>
    <row r="34" spans="2:7" ht="13.5" customHeight="1" x14ac:dyDescent="0.3">
      <c r="B34" s="11" t="s">
        <v>206</v>
      </c>
      <c r="C34" s="11"/>
      <c r="D34" s="12">
        <v>0</v>
      </c>
      <c r="E34" s="11">
        <f>$C34+0</f>
        <v>0</v>
      </c>
      <c r="F34" s="11">
        <f>$C34+0</f>
        <v>0</v>
      </c>
    </row>
    <row r="35" spans="2:7" ht="13.5" customHeight="1" x14ac:dyDescent="0.3">
      <c r="B35" s="11" t="s">
        <v>207</v>
      </c>
      <c r="C35" s="11"/>
      <c r="D35" s="12">
        <f>C35</f>
        <v>0</v>
      </c>
      <c r="E35" s="11">
        <f>D35</f>
        <v>0</v>
      </c>
      <c r="F35" s="11">
        <f>E35</f>
        <v>0</v>
      </c>
    </row>
    <row r="36" spans="2:7" ht="13.5" customHeight="1" x14ac:dyDescent="0.3">
      <c r="B36" s="11" t="s">
        <v>208</v>
      </c>
      <c r="C36" s="11"/>
      <c r="D36" s="12">
        <f>C36+'Prévisions mensuelles'!D37</f>
        <v>0</v>
      </c>
      <c r="E36" s="12">
        <f>D36+'Prévisions mensuelles'!E37</f>
        <v>0</v>
      </c>
      <c r="F36" s="12">
        <f>E36+'Prévisions mensuelles'!F37</f>
        <v>0</v>
      </c>
      <c r="G36" s="3"/>
    </row>
    <row r="37" spans="2:7" ht="13.5" hidden="1" customHeight="1" outlineLevel="1" x14ac:dyDescent="0.3">
      <c r="B37" s="11" t="s">
        <v>209</v>
      </c>
      <c r="C37" s="11"/>
      <c r="D37" s="12"/>
      <c r="E37" s="11"/>
      <c r="F37" s="11"/>
      <c r="G37" s="3"/>
    </row>
    <row r="38" spans="2:7" ht="13.5" customHeight="1" collapsed="1" x14ac:dyDescent="0.3">
      <c r="B38" s="16" t="s">
        <v>210</v>
      </c>
      <c r="C38" s="16">
        <f>SUM(C26:C37)</f>
        <v>0</v>
      </c>
      <c r="D38" s="17">
        <f>SUM(D26:D37)</f>
        <v>26162.231848370815</v>
      </c>
      <c r="E38" s="16">
        <f>SUM(E26:E37)</f>
        <v>35520.963143081368</v>
      </c>
      <c r="F38" s="16">
        <f>SUM(F26:F37)</f>
        <v>43650.049982391458</v>
      </c>
    </row>
    <row r="39" spans="2:7" ht="13.5" customHeight="1" x14ac:dyDescent="0.3">
      <c r="B39" s="22" t="s">
        <v>211</v>
      </c>
      <c r="C39" s="22">
        <f>C24+C38</f>
        <v>0</v>
      </c>
      <c r="D39" s="23">
        <f>D24+D38</f>
        <v>46596.82343358318</v>
      </c>
      <c r="E39" s="22">
        <f>E24+E38</f>
        <v>101851.13970265019</v>
      </c>
      <c r="F39" s="22">
        <f>F24+F38</f>
        <v>185531.96146349114</v>
      </c>
    </row>
    <row r="40" spans="2:7" ht="13.5" customHeight="1" x14ac:dyDescent="0.3">
      <c r="B40" s="18"/>
      <c r="C40" s="24"/>
      <c r="D40" s="24"/>
      <c r="E40" s="24"/>
      <c r="F40" s="24"/>
    </row>
    <row r="41" spans="2:7" ht="13.5" customHeight="1" x14ac:dyDescent="0.3">
      <c r="B41" s="25" t="s">
        <v>212</v>
      </c>
      <c r="C41" s="26">
        <f>C18-C39</f>
        <v>0</v>
      </c>
      <c r="D41" s="26">
        <f>D18-D39</f>
        <v>0</v>
      </c>
      <c r="E41" s="26">
        <f>E18-E39</f>
        <v>0</v>
      </c>
      <c r="F41" s="26">
        <f>F18-F39</f>
        <v>0</v>
      </c>
    </row>
    <row r="42" spans="2:7" ht="13.5" customHeight="1" x14ac:dyDescent="0.3">
      <c r="E42" s="15"/>
    </row>
    <row r="43" spans="2:7" s="3" customFormat="1" ht="13.5" customHeight="1" x14ac:dyDescent="0.3">
      <c r="B43" s="3" t="s">
        <v>152</v>
      </c>
      <c r="C43" s="3">
        <f>SUM(C12:C14,C16)-SUM(C29:C36)</f>
        <v>0</v>
      </c>
      <c r="D43" s="3">
        <f>SUM(D12:D14,D16)-SUM(D29:D36)</f>
        <v>1137.7681516292305</v>
      </c>
      <c r="E43" s="3">
        <f>SUM(E12:E14,E16)-SUM(E29:E36)</f>
        <v>1279.036856918694</v>
      </c>
      <c r="F43" s="3">
        <f>SUM(F12:F14,F16)-SUM(F29:F36)</f>
        <v>6049.9500176085421</v>
      </c>
    </row>
    <row r="44" spans="2:7" s="3" customFormat="1" ht="13.5" customHeight="1" x14ac:dyDescent="0.3">
      <c r="B44" s="3" t="s">
        <v>182</v>
      </c>
      <c r="C44" s="13"/>
      <c r="D44" s="3">
        <f>D43-C43</f>
        <v>1137.7681516292305</v>
      </c>
      <c r="E44" s="3">
        <f>E43-D43</f>
        <v>141.26870528946347</v>
      </c>
      <c r="F44" s="3">
        <f>F43-E43</f>
        <v>4770.9131606898482</v>
      </c>
    </row>
    <row r="47" spans="2:7" ht="17.25" customHeight="1" x14ac:dyDescent="0.3">
      <c r="B47" s="28"/>
    </row>
    <row r="48" spans="2:7" ht="13.5" customHeight="1" x14ac:dyDescent="0.3">
      <c r="B48" s="29"/>
    </row>
    <row r="49" spans="2:2" ht="13.5" customHeight="1" x14ac:dyDescent="0.3">
      <c r="B49" s="30"/>
    </row>
    <row r="50" spans="2:2" ht="13.5" customHeight="1" x14ac:dyDescent="0.3">
      <c r="B50" s="29"/>
    </row>
    <row r="51" spans="2:2" ht="13.5" customHeight="1" x14ac:dyDescent="0.3">
      <c r="B51" s="29"/>
    </row>
    <row r="52" spans="2:2" ht="13.5" customHeight="1" x14ac:dyDescent="0.3">
      <c r="B52" s="31"/>
    </row>
    <row r="53" spans="2:2" ht="13.5" customHeight="1" x14ac:dyDescent="0.3">
      <c r="B53" s="31"/>
    </row>
    <row r="54" spans="2:2" ht="13.5" customHeight="1" x14ac:dyDescent="0.3">
      <c r="B54" s="29"/>
    </row>
    <row r="55" spans="2:2" ht="13.5" customHeight="1" x14ac:dyDescent="0.3">
      <c r="B55" s="30"/>
    </row>
    <row r="56" spans="2:2" ht="13.5" customHeight="1" x14ac:dyDescent="0.3">
      <c r="B56" s="29"/>
    </row>
    <row r="57" spans="2:2" ht="13.5" customHeight="1" x14ac:dyDescent="0.3">
      <c r="B57" s="29"/>
    </row>
    <row r="58" spans="2:2" ht="13.5" customHeight="1" x14ac:dyDescent="0.3">
      <c r="B58" s="31"/>
    </row>
    <row r="59" spans="2:2" ht="13.5" customHeight="1" x14ac:dyDescent="0.3">
      <c r="B59" s="29"/>
    </row>
    <row r="60" spans="2:2" ht="13.5" customHeight="1" x14ac:dyDescent="0.3">
      <c r="B60" s="30"/>
    </row>
    <row r="61" spans="2:2" ht="13.5" customHeight="1" x14ac:dyDescent="0.3">
      <c r="B61" s="29"/>
    </row>
    <row r="62" spans="2:2" ht="13.5" customHeight="1" x14ac:dyDescent="0.3">
      <c r="B62" s="29"/>
    </row>
    <row r="63" spans="2:2" ht="13.5" customHeight="1" x14ac:dyDescent="0.3">
      <c r="B63" s="31"/>
    </row>
    <row r="64" spans="2:2" ht="13.5" customHeight="1" x14ac:dyDescent="0.3">
      <c r="B64" s="29"/>
    </row>
    <row r="65" spans="2:2" ht="13.5" customHeight="1" x14ac:dyDescent="0.3">
      <c r="B65" s="30"/>
    </row>
    <row r="66" spans="2:2" ht="13.5" customHeight="1" x14ac:dyDescent="0.3">
      <c r="B66" s="29"/>
    </row>
    <row r="67" spans="2:2" ht="13.5" customHeight="1" x14ac:dyDescent="0.3">
      <c r="B67" s="29"/>
    </row>
    <row r="68" spans="2:2" ht="13.5" customHeight="1" x14ac:dyDescent="0.3">
      <c r="B68" s="31"/>
    </row>
    <row r="70" spans="2:2" ht="17.25" customHeight="1" x14ac:dyDescent="0.3">
      <c r="B70" s="28"/>
    </row>
    <row r="71" spans="2:2" ht="13.5" customHeight="1" x14ac:dyDescent="0.3">
      <c r="B71" s="29"/>
    </row>
    <row r="72" spans="2:2" ht="13.5" customHeight="1" x14ac:dyDescent="0.3">
      <c r="B72" s="30"/>
    </row>
    <row r="73" spans="2:2" ht="13.5" customHeight="1" x14ac:dyDescent="0.3">
      <c r="B73" s="31"/>
    </row>
    <row r="74" spans="2:2" ht="13.5" customHeight="1" x14ac:dyDescent="0.3">
      <c r="B74" s="30"/>
    </row>
    <row r="75" spans="2:2" ht="13.5" customHeight="1" x14ac:dyDescent="0.3">
      <c r="B75" s="31"/>
    </row>
    <row r="77" spans="2:2" ht="17.25" customHeight="1" x14ac:dyDescent="0.3">
      <c r="B77" s="28"/>
    </row>
    <row r="80" spans="2:2" ht="13.5" customHeight="1" x14ac:dyDescent="0.3">
      <c r="B80" s="29"/>
    </row>
    <row r="81" spans="2:2" ht="13.5" customHeight="1" x14ac:dyDescent="0.3">
      <c r="B81" s="30"/>
    </row>
    <row r="82" spans="2:2" ht="13.5" customHeight="1" x14ac:dyDescent="0.3">
      <c r="B82" s="29"/>
    </row>
    <row r="83" spans="2:2" ht="13.5" customHeight="1" x14ac:dyDescent="0.3">
      <c r="B83" s="30"/>
    </row>
    <row r="84" spans="2:2" ht="13.5" customHeight="1" x14ac:dyDescent="0.3">
      <c r="B84" s="29"/>
    </row>
    <row r="85" spans="2:2" ht="13.5" customHeight="1" x14ac:dyDescent="0.3">
      <c r="B85" s="30"/>
    </row>
    <row r="86" spans="2:2" ht="13.5" customHeight="1" x14ac:dyDescent="0.3">
      <c r="B86" s="29"/>
    </row>
    <row r="87" spans="2:2" ht="13.5" customHeight="1" x14ac:dyDescent="0.3">
      <c r="B87" s="30"/>
    </row>
  </sheetData>
  <sheetProtection algorithmName="SHA-512" hashValue="imUd0lxCsUF6eXxhxxYyZSN6Am5H/HR/N1EXvTyQVK8Zg+PpzQti1Z0TdiLOLMl31eHMlJ/jVjdDRrlxg4bSjQ==" saltValue="JROfhDw1/iT4zj51r0gfpw==" spinCount="100000" sheet="1" objects="1" scenarios="1"/>
  <mergeCells count="1">
    <mergeCell ref="B3:B4"/>
  </mergeCells>
  <pageMargins left="0.74791666666666701" right="0.74791666666666701" top="0.82708333333333295" bottom="0.35416666666666702" header="0.35416666666666702" footer="0.196527777777778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1:AJ88"/>
  <sheetViews>
    <sheetView showGridLines="0" zoomScaleNormal="100" workbookViewId="0"/>
  </sheetViews>
  <sheetFormatPr baseColWidth="10" defaultColWidth="10.88671875" defaultRowHeight="13.8" x14ac:dyDescent="0.3"/>
  <cols>
    <col min="1" max="1" width="3.109375" style="2" customWidth="1"/>
    <col min="2" max="2" width="29.44140625" style="2" customWidth="1"/>
    <col min="3" max="3" width="9.109375" style="2" hidden="1" customWidth="1"/>
    <col min="4" max="6" width="11" style="2" customWidth="1"/>
    <col min="7" max="8" width="10.5546875" style="2" customWidth="1"/>
    <col min="9" max="30" width="11.109375" style="2" customWidth="1"/>
    <col min="31" max="36" width="11" style="2" customWidth="1"/>
    <col min="37" max="37" width="10.88671875" style="2" customWidth="1"/>
    <col min="38" max="16384" width="10.88671875" style="2"/>
  </cols>
  <sheetData>
    <row r="1" spans="2:9" ht="13.5" customHeight="1" x14ac:dyDescent="0.3">
      <c r="B1" s="32"/>
      <c r="I1" s="33"/>
    </row>
    <row r="2" spans="2:9" ht="22.5" customHeight="1" x14ac:dyDescent="0.3">
      <c r="B2" s="4" t="s">
        <v>213</v>
      </c>
      <c r="C2" s="5"/>
      <c r="D2" s="5"/>
      <c r="E2" s="5"/>
      <c r="F2" s="5"/>
      <c r="I2" s="33"/>
    </row>
    <row r="3" spans="2:9" s="10" customFormat="1" ht="13.5" customHeight="1" x14ac:dyDescent="0.3">
      <c r="B3" s="209" t="s">
        <v>171</v>
      </c>
      <c r="C3" s="6">
        <f>Bilan!C3</f>
        <v>46022</v>
      </c>
      <c r="D3" s="6">
        <f>Bilan!D3</f>
        <v>46387</v>
      </c>
      <c r="E3" s="6">
        <f>Bilan!E3</f>
        <v>46752</v>
      </c>
      <c r="F3" s="6">
        <f>Bilan!F3</f>
        <v>47118</v>
      </c>
      <c r="I3" s="34"/>
    </row>
    <row r="4" spans="2:9" ht="13.5" customHeight="1" x14ac:dyDescent="0.3">
      <c r="B4" s="210"/>
      <c r="C4" s="35" t="str">
        <f>Bilan!C4</f>
        <v>12m</v>
      </c>
      <c r="D4" s="36" t="str">
        <f>Bilan!D4</f>
        <v>12m</v>
      </c>
      <c r="E4" s="36" t="str">
        <f>Bilan!E4</f>
        <v>12m</v>
      </c>
      <c r="F4" s="36" t="str">
        <f>Bilan!F4</f>
        <v>12m</v>
      </c>
      <c r="I4" s="33"/>
    </row>
    <row r="5" spans="2:9" ht="4.5" customHeight="1" x14ac:dyDescent="0.3">
      <c r="B5" s="37"/>
      <c r="C5" s="38"/>
      <c r="D5" s="38"/>
      <c r="E5" s="38"/>
      <c r="F5" s="38"/>
      <c r="I5" s="33"/>
    </row>
    <row r="6" spans="2:9" ht="13.5" customHeight="1" x14ac:dyDescent="0.3">
      <c r="B6" s="2" t="s">
        <v>214</v>
      </c>
      <c r="C6" s="39"/>
      <c r="D6" s="39"/>
      <c r="E6" s="39"/>
      <c r="F6" s="39"/>
      <c r="I6" s="33"/>
    </row>
    <row r="7" spans="2:9" ht="13.5" customHeight="1" x14ac:dyDescent="0.3">
      <c r="B7" s="2" t="s">
        <v>215</v>
      </c>
      <c r="C7" s="33"/>
      <c r="D7" s="2">
        <f>+'Prévisions mensuelles'!C85</f>
        <v>5499.9999999999991</v>
      </c>
      <c r="E7" s="2">
        <f>+'Prévisions mensuelles'!P85</f>
        <v>2000.0000000000002</v>
      </c>
      <c r="F7" s="2">
        <f>'Prévisions mensuelles'!AC85</f>
        <v>2500</v>
      </c>
      <c r="I7" s="33"/>
    </row>
    <row r="8" spans="2:9" ht="13.5" customHeight="1" x14ac:dyDescent="0.3">
      <c r="B8" s="2" t="s">
        <v>216</v>
      </c>
      <c r="C8" s="33"/>
      <c r="D8" s="2">
        <f>IF(Bilan!D44&lt;0,0,Bilan!D44)</f>
        <v>1137.7681516292305</v>
      </c>
      <c r="E8" s="2">
        <f>IF(Bilan!E44&lt;0,0,Bilan!E44)</f>
        <v>141.26870528946347</v>
      </c>
      <c r="F8" s="2">
        <f>IF(Bilan!F44&lt;0,0,Bilan!F44)</f>
        <v>4770.9131606898482</v>
      </c>
      <c r="I8" s="33"/>
    </row>
    <row r="9" spans="2:9" ht="13.5" customHeight="1" x14ac:dyDescent="0.3">
      <c r="B9" s="2" t="s">
        <v>217</v>
      </c>
      <c r="C9" s="33"/>
      <c r="D9" s="2">
        <f>'Prévisions mensuelles'!C118</f>
        <v>4000.0000000000005</v>
      </c>
      <c r="E9" s="2">
        <f>'Prévisions mensuelles'!P118</f>
        <v>4000.0000000000005</v>
      </c>
      <c r="F9" s="2">
        <f>'Prévisions mensuelles'!AC118</f>
        <v>4000.0000000000005</v>
      </c>
      <c r="I9" s="33"/>
    </row>
    <row r="10" spans="2:9" s="10" customFormat="1" ht="13.5" customHeight="1" x14ac:dyDescent="0.3">
      <c r="B10" s="40" t="s">
        <v>218</v>
      </c>
      <c r="C10" s="40"/>
      <c r="D10" s="40">
        <f>SUM(D7:D9)</f>
        <v>10637.76815162923</v>
      </c>
      <c r="E10" s="40">
        <f>SUM(E7:E9)</f>
        <v>6141.2687052894635</v>
      </c>
      <c r="F10" s="40">
        <f>SUM(F7:F9)</f>
        <v>11270.913160689848</v>
      </c>
      <c r="I10" s="34"/>
    </row>
    <row r="11" spans="2:9" ht="4.5" customHeight="1" x14ac:dyDescent="0.3">
      <c r="I11" s="33"/>
    </row>
    <row r="12" spans="2:9" ht="13.5" customHeight="1" x14ac:dyDescent="0.3">
      <c r="B12" s="2" t="s">
        <v>219</v>
      </c>
      <c r="C12" s="33"/>
      <c r="D12" s="2">
        <f>'Compte de Résultat'!D31-'Compte de Résultat'!D21-'Compte de Résultat'!D29</f>
        <v>12267.924918545696</v>
      </c>
      <c r="E12" s="2">
        <f>'Compte de Résultat'!E31-'Compte de Résultat'!E21-'Compte de Résultat'!E29</f>
        <v>46562.25164102314</v>
      </c>
      <c r="F12" s="2">
        <f>'Compte de Résultat'!F31-'Compte de Résultat'!F21-'Compte de Résultat'!F29</f>
        <v>76385.068254864149</v>
      </c>
      <c r="I12" s="33"/>
    </row>
    <row r="13" spans="2:9" ht="13.5" customHeight="1" x14ac:dyDescent="0.3">
      <c r="B13" s="2" t="s">
        <v>216</v>
      </c>
      <c r="C13" s="33"/>
      <c r="D13" s="2">
        <f>IF(Bilan!D44&lt;0,-Bilan!D44,0)</f>
        <v>0</v>
      </c>
      <c r="E13" s="2">
        <f>IF(Bilan!E44&lt;0,-Bilan!E44,0)</f>
        <v>0</v>
      </c>
      <c r="F13" s="2">
        <f>IF(Bilan!F44&lt;0,-Bilan!F44,0)</f>
        <v>0</v>
      </c>
      <c r="I13" s="33"/>
    </row>
    <row r="14" spans="2:9" ht="13.5" customHeight="1" x14ac:dyDescent="0.3">
      <c r="B14" s="2" t="s">
        <v>220</v>
      </c>
      <c r="C14" s="33"/>
      <c r="D14" s="2">
        <f>'Prévisions mensuelles'!C112</f>
        <v>10000</v>
      </c>
      <c r="E14" s="2">
        <f>'Prévisions mensuelles'!P112</f>
        <v>0</v>
      </c>
      <c r="F14" s="2">
        <f>'Prévisions mensuelles'!AC112</f>
        <v>0</v>
      </c>
      <c r="I14" s="33"/>
    </row>
    <row r="15" spans="2:9" ht="13.5" customHeight="1" x14ac:dyDescent="0.3">
      <c r="B15" s="2" t="s">
        <v>221</v>
      </c>
      <c r="C15" s="33"/>
      <c r="D15" s="2">
        <f>'Prévisions mensuelles'!C115</f>
        <v>20000</v>
      </c>
      <c r="E15" s="2">
        <v>0</v>
      </c>
      <c r="F15" s="2">
        <f>'Prévisions mensuelles'!AC115</f>
        <v>0</v>
      </c>
      <c r="I15" s="33"/>
    </row>
    <row r="16" spans="2:9" ht="13.5" customHeight="1" x14ac:dyDescent="0.3">
      <c r="B16" s="2" t="s">
        <v>222</v>
      </c>
      <c r="D16" s="2">
        <f>Bilan!D37</f>
        <v>0</v>
      </c>
      <c r="E16" s="2">
        <f>Bilan!E37</f>
        <v>0</v>
      </c>
      <c r="F16" s="2">
        <f>Bilan!F37-E16</f>
        <v>0</v>
      </c>
      <c r="I16" s="33"/>
    </row>
    <row r="17" spans="2:36" s="10" customFormat="1" ht="13.5" customHeight="1" x14ac:dyDescent="0.3">
      <c r="B17" s="40" t="s">
        <v>223</v>
      </c>
      <c r="C17" s="40"/>
      <c r="D17" s="40">
        <f>SUM(D12:D15)</f>
        <v>42267.924918545694</v>
      </c>
      <c r="E17" s="40">
        <f>SUM(E12:E16)</f>
        <v>46562.25164102314</v>
      </c>
      <c r="F17" s="40">
        <f>SUM(F12:F16)</f>
        <v>76385.068254864149</v>
      </c>
      <c r="I17" s="34"/>
    </row>
    <row r="18" spans="2:36" s="10" customFormat="1" ht="13.5" customHeight="1" x14ac:dyDescent="0.3">
      <c r="B18" s="16" t="s">
        <v>224</v>
      </c>
      <c r="C18" s="16"/>
      <c r="D18" s="16">
        <f>D17-D10</f>
        <v>31630.156766916465</v>
      </c>
      <c r="E18" s="16">
        <f>E17-E10</f>
        <v>40420.982935733678</v>
      </c>
      <c r="F18" s="16">
        <f>F17-F10</f>
        <v>65114.155094174304</v>
      </c>
      <c r="I18" s="34"/>
    </row>
    <row r="19" spans="2:36" s="10" customFormat="1" ht="13.5" customHeight="1" x14ac:dyDescent="0.3">
      <c r="B19" s="41" t="s">
        <v>225</v>
      </c>
      <c r="C19" s="41">
        <v>0</v>
      </c>
      <c r="D19" s="41">
        <f>D18+C19</f>
        <v>31630.156766916465</v>
      </c>
      <c r="E19" s="41">
        <f>E18+D19</f>
        <v>72051.139702650136</v>
      </c>
      <c r="F19" s="41">
        <f>F18+E19</f>
        <v>137165.29479682446</v>
      </c>
      <c r="I19" s="34"/>
    </row>
    <row r="20" spans="2:36" s="10" customFormat="1" ht="13.5" customHeight="1" x14ac:dyDescent="0.3">
      <c r="I20" s="34"/>
    </row>
    <row r="21" spans="2:36" s="42" customFormat="1" ht="13.5" customHeight="1" x14ac:dyDescent="0.3">
      <c r="B21" s="25" t="s">
        <v>212</v>
      </c>
      <c r="C21" s="26">
        <f>C19-Bilan!C15</f>
        <v>0</v>
      </c>
      <c r="D21" s="26">
        <f>D19-Bilan!D15</f>
        <v>-5.4569682106375694E-11</v>
      </c>
      <c r="E21" s="26">
        <f>E19-Bilan!E15</f>
        <v>0</v>
      </c>
      <c r="F21" s="26">
        <f>F19-Bilan!F15</f>
        <v>0</v>
      </c>
      <c r="I21" s="43"/>
    </row>
    <row r="22" spans="2:36" s="42" customFormat="1" ht="13.5" customHeight="1" x14ac:dyDescent="0.3">
      <c r="B22" s="25"/>
      <c r="C22" s="26"/>
      <c r="D22" s="26"/>
      <c r="E22" s="26"/>
      <c r="F22" s="26"/>
      <c r="I22" s="43"/>
    </row>
    <row r="23" spans="2:36" s="151" customFormat="1" ht="13.5" customHeight="1" x14ac:dyDescent="0.3">
      <c r="B23" s="150"/>
    </row>
    <row r="25" spans="2:36" ht="13.5" customHeight="1" x14ac:dyDescent="0.3"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</row>
    <row r="26" spans="2:36" ht="13.5" customHeight="1" x14ac:dyDescent="0.3"/>
    <row r="54" spans="2:2" ht="13.5" customHeight="1" x14ac:dyDescent="0.3"/>
    <row r="56" spans="2:2" ht="17.25" customHeight="1" x14ac:dyDescent="0.3">
      <c r="B56" s="28"/>
    </row>
    <row r="57" spans="2:2" ht="13.5" customHeight="1" x14ac:dyDescent="0.3">
      <c r="B57" s="29"/>
    </row>
    <row r="58" spans="2:2" ht="13.5" customHeight="1" x14ac:dyDescent="0.3">
      <c r="B58" s="30"/>
    </row>
    <row r="59" spans="2:2" ht="13.5" customHeight="1" x14ac:dyDescent="0.3">
      <c r="B59" s="31"/>
    </row>
    <row r="60" spans="2:2" ht="13.5" customHeight="1" x14ac:dyDescent="0.3">
      <c r="B60" s="30"/>
    </row>
    <row r="61" spans="2:2" ht="13.5" customHeight="1" x14ac:dyDescent="0.3">
      <c r="B61" s="31"/>
    </row>
    <row r="62" spans="2:2" ht="13.5" customHeight="1" x14ac:dyDescent="0.3">
      <c r="B62" s="30"/>
    </row>
    <row r="63" spans="2:2" ht="13.5" customHeight="1" x14ac:dyDescent="0.3">
      <c r="B63" s="31"/>
    </row>
    <row r="65" spans="2:2" ht="17.25" customHeight="1" x14ac:dyDescent="0.3">
      <c r="B65" s="28"/>
    </row>
    <row r="66" spans="2:2" ht="13.5" customHeight="1" x14ac:dyDescent="0.3">
      <c r="B66" s="29"/>
    </row>
    <row r="67" spans="2:2" ht="13.5" customHeight="1" x14ac:dyDescent="0.3">
      <c r="B67" s="30"/>
    </row>
    <row r="68" spans="2:2" ht="13.5" customHeight="1" x14ac:dyDescent="0.3">
      <c r="B68" s="31"/>
    </row>
    <row r="69" spans="2:2" ht="13.5" customHeight="1" x14ac:dyDescent="0.3">
      <c r="B69" s="30"/>
    </row>
    <row r="70" spans="2:2" ht="13.5" customHeight="1" x14ac:dyDescent="0.3">
      <c r="B70" s="31"/>
    </row>
    <row r="71" spans="2:2" ht="13.5" customHeight="1" x14ac:dyDescent="0.3">
      <c r="B71" s="30"/>
    </row>
    <row r="72" spans="2:2" ht="13.5" customHeight="1" x14ac:dyDescent="0.3">
      <c r="B72" s="31"/>
    </row>
    <row r="74" spans="2:2" ht="17.25" customHeight="1" x14ac:dyDescent="0.3">
      <c r="B74" s="28"/>
    </row>
    <row r="75" spans="2:2" ht="13.5" customHeight="1" x14ac:dyDescent="0.3">
      <c r="B75" s="29"/>
    </row>
    <row r="76" spans="2:2" ht="13.5" customHeight="1" x14ac:dyDescent="0.3">
      <c r="B76" s="29"/>
    </row>
    <row r="77" spans="2:2" ht="13.5" customHeight="1" x14ac:dyDescent="0.3">
      <c r="B77" s="29"/>
    </row>
    <row r="79" spans="2:2" ht="17.25" customHeight="1" x14ac:dyDescent="0.3">
      <c r="B79" s="28"/>
    </row>
    <row r="80" spans="2:2" ht="13.5" customHeight="1" x14ac:dyDescent="0.3">
      <c r="B80" s="29"/>
    </row>
    <row r="81" spans="2:2" ht="13.5" customHeight="1" x14ac:dyDescent="0.3">
      <c r="B81" s="30"/>
    </row>
    <row r="82" spans="2:2" ht="13.5" customHeight="1" x14ac:dyDescent="0.3">
      <c r="B82" s="30"/>
    </row>
    <row r="83" spans="2:2" ht="13.5" customHeight="1" x14ac:dyDescent="0.3">
      <c r="B83" s="30"/>
    </row>
    <row r="85" spans="2:2" ht="17.25" customHeight="1" x14ac:dyDescent="0.3">
      <c r="B85" s="28"/>
    </row>
    <row r="86" spans="2:2" ht="13.5" customHeight="1" x14ac:dyDescent="0.3">
      <c r="B86" s="29"/>
    </row>
    <row r="87" spans="2:2" ht="13.5" customHeight="1" x14ac:dyDescent="0.3">
      <c r="B87" s="29"/>
    </row>
    <row r="88" spans="2:2" ht="13.5" customHeight="1" x14ac:dyDescent="0.3">
      <c r="B88" s="29"/>
    </row>
  </sheetData>
  <sheetProtection algorithmName="SHA-512" hashValue="93LvoCafFKAybzSptV1bdn4yEJVSweXoBfCm9JCyv+XM2wnrYHbi2+aq7LkPrb9p0/edq7+WBWn3D2yjEvcjdg==" saltValue="9S7lCN4t00Fuz552jjYKVg==" spinCount="100000" sheet="1" objects="1" scenarios="1"/>
  <mergeCells count="1">
    <mergeCell ref="B3:B4"/>
  </mergeCells>
  <pageMargins left="0.74791666666666701" right="0.74791666666666701" top="0.82708333333333295" bottom="0.35416666666666702" header="0.35416666666666702" footer="0.196527777777778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1:J76"/>
  <sheetViews>
    <sheetView showGridLines="0" zoomScale="87" zoomScaleNormal="87" workbookViewId="0"/>
  </sheetViews>
  <sheetFormatPr baseColWidth="10" defaultColWidth="10.88671875" defaultRowHeight="13.8" x14ac:dyDescent="0.3"/>
  <cols>
    <col min="1" max="1" width="2.44140625" style="2" customWidth="1"/>
    <col min="2" max="2" width="34.88671875" style="2" customWidth="1"/>
    <col min="3" max="3" width="7.88671875" style="2" hidden="1" customWidth="1"/>
    <col min="4" max="5" width="11" style="2" customWidth="1"/>
    <col min="6" max="6" width="12.5546875" style="2" customWidth="1"/>
    <col min="7" max="8" width="9.44140625" style="2" customWidth="1"/>
    <col min="9" max="9" width="9.21875" style="2" customWidth="1"/>
    <col min="10" max="10" width="10.88671875" style="2" customWidth="1"/>
    <col min="11" max="16384" width="10.88671875" style="2"/>
  </cols>
  <sheetData>
    <row r="1" spans="2:10" ht="13.5" customHeight="1" x14ac:dyDescent="0.3"/>
    <row r="2" spans="2:10" ht="24.75" customHeight="1" x14ac:dyDescent="0.3">
      <c r="B2" s="4" t="s">
        <v>226</v>
      </c>
      <c r="C2" s="5"/>
      <c r="D2" s="5"/>
      <c r="E2" s="5"/>
      <c r="F2" s="5"/>
    </row>
    <row r="3" spans="2:10" ht="13.5" customHeight="1" x14ac:dyDescent="0.3">
      <c r="B3" s="209" t="s">
        <v>171</v>
      </c>
      <c r="C3" s="6">
        <f>Bilan!C3</f>
        <v>46022</v>
      </c>
      <c r="D3" s="7">
        <f>Bilan!D3</f>
        <v>46387</v>
      </c>
      <c r="E3" s="6">
        <f>Bilan!E3</f>
        <v>46752</v>
      </c>
      <c r="F3" s="6">
        <f>Bilan!F3</f>
        <v>47118</v>
      </c>
    </row>
    <row r="4" spans="2:10" ht="13.5" customHeight="1" x14ac:dyDescent="0.3">
      <c r="B4" s="210"/>
      <c r="C4" s="36" t="str">
        <f>Bilan!C4</f>
        <v>12m</v>
      </c>
      <c r="D4" s="35" t="str">
        <f>Bilan!D4</f>
        <v>12m</v>
      </c>
      <c r="E4" s="36" t="str">
        <f>Bilan!E4</f>
        <v>12m</v>
      </c>
      <c r="F4" s="36" t="str">
        <f>Bilan!F4</f>
        <v>12m</v>
      </c>
    </row>
    <row r="5" spans="2:10" ht="3" customHeight="1" x14ac:dyDescent="0.3">
      <c r="B5" s="45"/>
      <c r="C5" s="45"/>
      <c r="D5" s="46"/>
      <c r="E5" s="45"/>
      <c r="F5" s="45"/>
    </row>
    <row r="6" spans="2:10" ht="13.5" customHeight="1" x14ac:dyDescent="0.3">
      <c r="B6" s="47" t="s">
        <v>227</v>
      </c>
      <c r="C6" s="48"/>
      <c r="D6" s="49">
        <f>+'Prévisions mensuelles'!C36</f>
        <v>113000</v>
      </c>
      <c r="E6" s="48">
        <f>+'Prévisions mensuelles'!P36</f>
        <v>248000</v>
      </c>
      <c r="F6" s="48">
        <f>+'Prévisions mensuelles'!AC36</f>
        <v>417000</v>
      </c>
      <c r="H6" s="50"/>
      <c r="I6" s="50"/>
      <c r="J6" s="50"/>
    </row>
    <row r="7" spans="2:10" ht="13.5" customHeight="1" x14ac:dyDescent="0.3">
      <c r="B7" s="10" t="s">
        <v>133</v>
      </c>
      <c r="C7" s="51"/>
      <c r="D7" s="52">
        <f>SUM(D6:D6)</f>
        <v>113000</v>
      </c>
      <c r="E7" s="51">
        <f>SUM(E6:E6)</f>
        <v>248000</v>
      </c>
      <c r="F7" s="51">
        <f>SUM(F6:F6)</f>
        <v>417000</v>
      </c>
    </row>
    <row r="8" spans="2:10" ht="4.5" customHeight="1" x14ac:dyDescent="0.3">
      <c r="B8" s="10"/>
      <c r="C8" s="51"/>
      <c r="D8" s="52"/>
      <c r="E8" s="51"/>
      <c r="F8" s="51"/>
    </row>
    <row r="9" spans="2:10" s="10" customFormat="1" ht="13.5" customHeight="1" x14ac:dyDescent="0.3">
      <c r="B9" s="10" t="s">
        <v>228</v>
      </c>
      <c r="C9" s="51"/>
      <c r="D9" s="52"/>
      <c r="E9" s="51"/>
      <c r="F9" s="51"/>
    </row>
    <row r="10" spans="2:10" ht="4.5" customHeight="1" x14ac:dyDescent="0.3">
      <c r="B10" s="10"/>
      <c r="C10" s="51"/>
      <c r="D10" s="52"/>
      <c r="E10" s="51"/>
      <c r="F10" s="51"/>
    </row>
    <row r="11" spans="2:10" ht="13.5" customHeight="1" x14ac:dyDescent="0.3">
      <c r="B11" s="53" t="s">
        <v>229</v>
      </c>
      <c r="C11" s="48"/>
      <c r="D11" s="49">
        <f>-('Prévisions mensuelles'!C42)</f>
        <v>-7200</v>
      </c>
      <c r="E11" s="48">
        <f>-('Prévisions mensuelles'!P42)</f>
        <v>-7200</v>
      </c>
      <c r="F11" s="48">
        <f>-('Prévisions mensuelles'!AC42)</f>
        <v>-7200</v>
      </c>
      <c r="H11" s="50"/>
    </row>
    <row r="12" spans="2:10" ht="13.5" customHeight="1" x14ac:dyDescent="0.3">
      <c r="B12" s="2" t="s">
        <v>230</v>
      </c>
      <c r="C12" s="48"/>
      <c r="D12" s="49">
        <f>-'Prévisions mensuelles'!C53-D13</f>
        <v>-11500</v>
      </c>
      <c r="E12" s="48">
        <f>-'Prévisions mensuelles'!P53-E13</f>
        <v>-12500</v>
      </c>
      <c r="F12" s="48">
        <f>-'Prévisions mensuelles'!AC53-F13</f>
        <v>-14500</v>
      </c>
      <c r="H12" s="50"/>
    </row>
    <row r="13" spans="2:10" ht="13.5" customHeight="1" x14ac:dyDescent="0.3">
      <c r="B13" s="2" t="s">
        <v>231</v>
      </c>
      <c r="C13" s="48"/>
      <c r="D13" s="49">
        <v>0</v>
      </c>
      <c r="E13" s="48">
        <v>0</v>
      </c>
      <c r="F13" s="48">
        <v>0</v>
      </c>
      <c r="H13" s="50"/>
    </row>
    <row r="14" spans="2:10" ht="13.5" customHeight="1" x14ac:dyDescent="0.3">
      <c r="B14" s="2" t="s">
        <v>232</v>
      </c>
      <c r="C14" s="48"/>
      <c r="D14" s="49">
        <f>-'Prévisions mensuelles'!C56</f>
        <v>-600</v>
      </c>
      <c r="E14" s="48">
        <f>-'Prévisions mensuelles'!P56</f>
        <v>-600</v>
      </c>
      <c r="F14" s="48">
        <f>-'Prévisions mensuelles'!AC56</f>
        <v>-600</v>
      </c>
      <c r="H14" s="50"/>
    </row>
    <row r="15" spans="2:10" ht="13.5" customHeight="1" x14ac:dyDescent="0.3">
      <c r="B15" s="2" t="s">
        <v>233</v>
      </c>
      <c r="C15" s="48"/>
      <c r="D15" s="49">
        <f>-'Prévisions mensuelles'!C57-'Prévisions mensuelles'!C58</f>
        <v>-53850</v>
      </c>
      <c r="E15" s="48">
        <f>-'Prévisions mensuelles'!P57-'Prévisions mensuelles'!P58</f>
        <v>-125898</v>
      </c>
      <c r="F15" s="48">
        <f>-'Prévisions mensuelles'!AC57-'Prévisions mensuelles'!AC58</f>
        <v>-218328</v>
      </c>
      <c r="H15" s="50"/>
    </row>
    <row r="16" spans="2:10" ht="13.5" customHeight="1" x14ac:dyDescent="0.3">
      <c r="B16" s="2" t="s">
        <v>234</v>
      </c>
      <c r="C16" s="48"/>
      <c r="D16" s="49">
        <f>-'Prévisions mensuelles'!C55</f>
        <v>-25000</v>
      </c>
      <c r="E16" s="48">
        <f>-'Prévisions mensuelles'!P55</f>
        <v>-45000</v>
      </c>
      <c r="F16" s="48">
        <f>-'Prévisions mensuelles'!AC55</f>
        <v>-80000</v>
      </c>
      <c r="H16" s="50"/>
    </row>
    <row r="17" spans="2:6" s="3" customFormat="1" ht="13.5" customHeight="1" x14ac:dyDescent="0.3">
      <c r="B17" s="54" t="s">
        <v>235</v>
      </c>
      <c r="C17" s="55"/>
      <c r="D17" s="56">
        <f>-'Prévisions mensuelles'!C54</f>
        <v>0</v>
      </c>
      <c r="E17" s="55">
        <f>-'Prévisions mensuelles'!P54</f>
        <v>0</v>
      </c>
      <c r="F17" s="55">
        <f>-'Prévisions mensuelles'!AC54</f>
        <v>0</v>
      </c>
    </row>
    <row r="18" spans="2:6" ht="13.5" customHeight="1" x14ac:dyDescent="0.3">
      <c r="B18" s="40" t="s">
        <v>136</v>
      </c>
      <c r="C18" s="57">
        <f>C7+C9+SUM(C11:C16)</f>
        <v>0</v>
      </c>
      <c r="D18" s="58">
        <f>D7+D9+SUM(D11:D16)</f>
        <v>14850</v>
      </c>
      <c r="E18" s="57">
        <f>E7+E9+SUM(E11:E16)</f>
        <v>56802</v>
      </c>
      <c r="F18" s="57">
        <f>F7+F9+SUM(F11:F16)</f>
        <v>96372</v>
      </c>
    </row>
    <row r="19" spans="2:6" s="59" customFormat="1" ht="13.5" customHeight="1" x14ac:dyDescent="0.3">
      <c r="B19" s="60" t="s">
        <v>236</v>
      </c>
      <c r="C19" s="61"/>
      <c r="D19" s="62">
        <f>D18/D$7</f>
        <v>0.13141592920353981</v>
      </c>
      <c r="E19" s="61">
        <f>E18/E$7</f>
        <v>0.22904032258064516</v>
      </c>
      <c r="F19" s="61">
        <f>F18/F$7</f>
        <v>0.23110791366906475</v>
      </c>
    </row>
    <row r="20" spans="2:6" ht="3" customHeight="1" x14ac:dyDescent="0.3">
      <c r="C20" s="48"/>
      <c r="D20" s="49"/>
      <c r="E20" s="48"/>
      <c r="F20" s="48"/>
    </row>
    <row r="21" spans="2:6" ht="13.5" customHeight="1" x14ac:dyDescent="0.3">
      <c r="B21" s="2" t="s">
        <v>237</v>
      </c>
      <c r="C21" s="48"/>
      <c r="D21" s="49">
        <f>-'Prévisions mensuelles'!C59</f>
        <v>-1833.3333333333337</v>
      </c>
      <c r="E21" s="48">
        <f>-'Prévisions mensuelles'!P59</f>
        <v>-666.66666666666663</v>
      </c>
      <c r="F21" s="48">
        <f>-'Prévisions mensuelles'!AC59</f>
        <v>-833.33333333333337</v>
      </c>
    </row>
    <row r="22" spans="2:6" ht="13.5" customHeight="1" x14ac:dyDescent="0.3">
      <c r="B22" s="40" t="s">
        <v>238</v>
      </c>
      <c r="C22" s="57">
        <f>C18+C21</f>
        <v>0</v>
      </c>
      <c r="D22" s="58">
        <f>D18+D21</f>
        <v>13016.666666666666</v>
      </c>
      <c r="E22" s="57">
        <f>E18+E21</f>
        <v>56135.333333333336</v>
      </c>
      <c r="F22" s="57">
        <f>F18+F21</f>
        <v>95538.666666666672</v>
      </c>
    </row>
    <row r="23" spans="2:6" s="59" customFormat="1" ht="13.5" customHeight="1" x14ac:dyDescent="0.3">
      <c r="B23" s="60" t="s">
        <v>239</v>
      </c>
      <c r="C23" s="61"/>
      <c r="D23" s="62">
        <f>D22/D$7</f>
        <v>0.11519174041297935</v>
      </c>
      <c r="E23" s="61">
        <f>E22/E$7</f>
        <v>0.22635215053763441</v>
      </c>
      <c r="F23" s="61">
        <f>F22/F$7</f>
        <v>0.22910951239008795</v>
      </c>
    </row>
    <row r="24" spans="2:6" ht="4.5" customHeight="1" x14ac:dyDescent="0.3">
      <c r="C24" s="48"/>
      <c r="D24" s="49"/>
      <c r="E24" s="48"/>
      <c r="F24" s="48"/>
    </row>
    <row r="25" spans="2:6" ht="13.5" customHeight="1" x14ac:dyDescent="0.3">
      <c r="B25" s="2" t="s">
        <v>240</v>
      </c>
      <c r="C25" s="48"/>
      <c r="D25" s="49">
        <f>-'Prévisions mensuelles'!C64</f>
        <v>-740.67656641682925</v>
      </c>
      <c r="E25" s="48">
        <f>-'Prévisions mensuelles'!P64</f>
        <v>-607.88670085802414</v>
      </c>
      <c r="F25" s="48">
        <f>-'Prévisions mensuelles'!AC64</f>
        <v>-469.68677129224216</v>
      </c>
    </row>
    <row r="26" spans="2:6" ht="13.5" customHeight="1" x14ac:dyDescent="0.3">
      <c r="B26" s="40" t="s">
        <v>241</v>
      </c>
      <c r="C26" s="57">
        <f>C22+C25</f>
        <v>0</v>
      </c>
      <c r="D26" s="58">
        <f>D22+D25</f>
        <v>12275.990100249837</v>
      </c>
      <c r="E26" s="57">
        <f>E22+E25</f>
        <v>55527.446632475308</v>
      </c>
      <c r="F26" s="57">
        <f>F22+F25</f>
        <v>95068.979895374432</v>
      </c>
    </row>
    <row r="27" spans="2:6" s="59" customFormat="1" ht="13.5" customHeight="1" x14ac:dyDescent="0.3">
      <c r="B27" s="60" t="s">
        <v>242</v>
      </c>
      <c r="C27" s="61"/>
      <c r="D27" s="62">
        <f>D26/D$7</f>
        <v>0.1086370805331844</v>
      </c>
      <c r="E27" s="61">
        <f>E26/E$7</f>
        <v>0.22390099448578754</v>
      </c>
      <c r="F27" s="61">
        <f>F26/F$7</f>
        <v>0.22798316521672526</v>
      </c>
    </row>
    <row r="28" spans="2:6" ht="4.5" customHeight="1" x14ac:dyDescent="0.3">
      <c r="C28" s="63"/>
      <c r="D28" s="64"/>
      <c r="E28" s="63"/>
      <c r="F28" s="63"/>
    </row>
    <row r="29" spans="2:6" ht="13.5" customHeight="1" x14ac:dyDescent="0.3">
      <c r="B29" s="2" t="s">
        <v>243</v>
      </c>
      <c r="C29" s="48"/>
      <c r="D29" s="49">
        <f>-'Prévisions mensuelles'!C69</f>
        <v>0</v>
      </c>
      <c r="E29" s="48">
        <f>-'Prévisions mensuelles'!P69</f>
        <v>0</v>
      </c>
      <c r="F29" s="48">
        <f>-'Prévisions mensuelles'!AC69</f>
        <v>0</v>
      </c>
    </row>
    <row r="30" spans="2:6" ht="13.5" customHeight="1" x14ac:dyDescent="0.3">
      <c r="B30" s="2" t="s">
        <v>244</v>
      </c>
      <c r="C30" s="48"/>
      <c r="D30" s="49">
        <f>-'Prévisions mensuelles'!C70</f>
        <v>-1841.3985150374763</v>
      </c>
      <c r="E30" s="48">
        <f>-'Prévisions mensuelles'!P70</f>
        <v>-9631.8616581188289</v>
      </c>
      <c r="F30" s="48">
        <f>-'Prévisions mensuelles'!AC70</f>
        <v>-19517.244973843612</v>
      </c>
    </row>
    <row r="31" spans="2:6" ht="13.5" customHeight="1" x14ac:dyDescent="0.3">
      <c r="B31" s="16" t="s">
        <v>138</v>
      </c>
      <c r="C31" s="65">
        <f>C26+SUM(C29:C30)</f>
        <v>0</v>
      </c>
      <c r="D31" s="66">
        <f>D26+SUM(D29:D30)</f>
        <v>10434.591585212362</v>
      </c>
      <c r="E31" s="65">
        <f>E26+SUM(E29:E30)</f>
        <v>45895.584974356476</v>
      </c>
      <c r="F31" s="65">
        <f>F26+SUM(F29:F30)</f>
        <v>75551.73492153082</v>
      </c>
    </row>
    <row r="32" spans="2:6" s="3" customFormat="1" ht="13.5" customHeight="1" x14ac:dyDescent="0.3">
      <c r="B32" s="67" t="s">
        <v>245</v>
      </c>
      <c r="C32" s="68"/>
      <c r="D32" s="69">
        <f>D31/D7</f>
        <v>9.2341518453206747E-2</v>
      </c>
      <c r="E32" s="68">
        <f>E31/E7</f>
        <v>0.18506284263853418</v>
      </c>
      <c r="F32" s="68">
        <f>F31/F7</f>
        <v>0.18117922043532572</v>
      </c>
    </row>
    <row r="33" spans="2:6" s="3" customFormat="1" ht="13.5" customHeight="1" x14ac:dyDescent="0.3">
      <c r="B33" s="42"/>
      <c r="C33" s="70"/>
      <c r="D33" s="70"/>
      <c r="E33" s="70"/>
      <c r="F33" s="70"/>
    </row>
    <row r="34" spans="2:6" s="3" customFormat="1" ht="13.5" customHeight="1" x14ac:dyDescent="0.3">
      <c r="C34" s="71"/>
      <c r="D34" s="55"/>
      <c r="E34" s="55"/>
      <c r="F34" s="55"/>
    </row>
    <row r="35" spans="2:6" s="3" customFormat="1" ht="13.5" customHeight="1" x14ac:dyDescent="0.3">
      <c r="B35" s="42"/>
      <c r="C35" s="70"/>
      <c r="D35" s="70"/>
      <c r="E35" s="70"/>
      <c r="F35" s="70"/>
    </row>
    <row r="36" spans="2:6" ht="13.5" customHeight="1" x14ac:dyDescent="0.3">
      <c r="B36" s="25" t="s">
        <v>212</v>
      </c>
      <c r="C36" s="72"/>
      <c r="D36" s="72">
        <f>D31-'Prévisions mensuelles'!C72</f>
        <v>0</v>
      </c>
      <c r="E36" s="72">
        <f>E31-'Prévisions mensuelles'!P72</f>
        <v>0</v>
      </c>
      <c r="F36" s="72">
        <f>F31-'Prévisions mensuelles'!AC72</f>
        <v>0</v>
      </c>
    </row>
    <row r="42" spans="2:6" ht="17.25" customHeight="1" x14ac:dyDescent="0.3">
      <c r="B42" s="28"/>
    </row>
    <row r="43" spans="2:6" ht="13.5" customHeight="1" x14ac:dyDescent="0.3">
      <c r="B43" s="29"/>
    </row>
    <row r="44" spans="2:6" ht="13.5" customHeight="1" x14ac:dyDescent="0.3">
      <c r="B44" s="29"/>
    </row>
    <row r="45" spans="2:6" ht="13.5" customHeight="1" x14ac:dyDescent="0.3">
      <c r="B45" s="29"/>
    </row>
    <row r="47" spans="2:6" ht="17.25" customHeight="1" x14ac:dyDescent="0.3">
      <c r="B47" s="28"/>
    </row>
    <row r="48" spans="2:6" ht="13.5" customHeight="1" x14ac:dyDescent="0.3">
      <c r="B48" s="29"/>
    </row>
    <row r="49" spans="2:2" ht="13.5" customHeight="1" x14ac:dyDescent="0.3">
      <c r="B49" s="29"/>
    </row>
    <row r="50" spans="2:2" ht="13.5" customHeight="1" x14ac:dyDescent="0.3">
      <c r="B50" s="29"/>
    </row>
    <row r="52" spans="2:2" ht="17.25" customHeight="1" x14ac:dyDescent="0.3">
      <c r="B52" s="28"/>
    </row>
    <row r="53" spans="2:2" ht="13.5" customHeight="1" x14ac:dyDescent="0.3">
      <c r="B53" s="29"/>
    </row>
    <row r="54" spans="2:2" ht="13.5" customHeight="1" x14ac:dyDescent="0.3">
      <c r="B54" s="29"/>
    </row>
    <row r="55" spans="2:2" ht="13.5" customHeight="1" x14ac:dyDescent="0.3">
      <c r="B55" s="29"/>
    </row>
    <row r="57" spans="2:2" ht="17.25" customHeight="1" x14ac:dyDescent="0.3">
      <c r="B57" s="28"/>
    </row>
    <row r="58" spans="2:2" ht="13.5" customHeight="1" x14ac:dyDescent="0.3">
      <c r="B58" s="29"/>
    </row>
    <row r="59" spans="2:2" ht="13.5" customHeight="1" x14ac:dyDescent="0.3">
      <c r="B59" s="29"/>
    </row>
    <row r="60" spans="2:2" ht="13.5" customHeight="1" x14ac:dyDescent="0.3">
      <c r="B60" s="29"/>
    </row>
    <row r="62" spans="2:2" ht="17.25" customHeight="1" x14ac:dyDescent="0.3">
      <c r="B62" s="28"/>
    </row>
    <row r="63" spans="2:2" ht="13.5" customHeight="1" x14ac:dyDescent="0.3">
      <c r="B63" s="29"/>
    </row>
    <row r="64" spans="2:2" ht="13.5" customHeight="1" x14ac:dyDescent="0.3">
      <c r="B64" s="29"/>
    </row>
    <row r="65" spans="2:2" ht="13.5" customHeight="1" x14ac:dyDescent="0.3">
      <c r="B65" s="29"/>
    </row>
    <row r="67" spans="2:2" ht="17.25" customHeight="1" x14ac:dyDescent="0.3">
      <c r="B67" s="28"/>
    </row>
    <row r="68" spans="2:2" ht="13.5" customHeight="1" x14ac:dyDescent="0.3">
      <c r="B68" s="29"/>
    </row>
    <row r="69" spans="2:2" ht="13.5" customHeight="1" x14ac:dyDescent="0.3">
      <c r="B69" s="30"/>
    </row>
    <row r="70" spans="2:2" ht="13.5" customHeight="1" x14ac:dyDescent="0.3">
      <c r="B70" s="30"/>
    </row>
    <row r="71" spans="2:2" ht="13.5" customHeight="1" x14ac:dyDescent="0.3">
      <c r="B71" s="30"/>
    </row>
    <row r="73" spans="2:2" ht="17.25" customHeight="1" x14ac:dyDescent="0.3">
      <c r="B73" s="28"/>
    </row>
    <row r="74" spans="2:2" ht="13.5" customHeight="1" x14ac:dyDescent="0.3">
      <c r="B74" s="29"/>
    </row>
    <row r="75" spans="2:2" ht="13.5" customHeight="1" x14ac:dyDescent="0.3">
      <c r="B75" s="29"/>
    </row>
    <row r="76" spans="2:2" ht="13.5" customHeight="1" x14ac:dyDescent="0.3">
      <c r="B76" s="29"/>
    </row>
  </sheetData>
  <sheetProtection algorithmName="SHA-512" hashValue="VjEzxjZ/sWMHaS5AZxAlWBA96ENgYKUjpNBKH18b8WiiRM+a/2hVd89HsXl59/WkpbwuyUCv5h04/k67M1uEQg==" saltValue="EIP2+v5SsyYinzrzG1s+1w==" spinCount="100000" sheet="1" objects="1" scenarios="1"/>
  <mergeCells count="1">
    <mergeCell ref="B3:B4"/>
  </mergeCells>
  <pageMargins left="0.74791666666666701" right="0.74791666666666701" top="0.82708333333333295" bottom="0.35416666666666702" header="0.35416666666666702" footer="0.196527777777778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AQ25"/>
  <sheetViews>
    <sheetView showGridLines="0" zoomScale="92" zoomScaleNormal="92" workbookViewId="0"/>
  </sheetViews>
  <sheetFormatPr baseColWidth="10" defaultColWidth="10.6640625" defaultRowHeight="13.2" x14ac:dyDescent="0.25"/>
  <cols>
    <col min="1" max="1" width="3" customWidth="1"/>
    <col min="2" max="2" width="26.33203125" customWidth="1"/>
    <col min="3" max="3" width="8.109375" customWidth="1"/>
    <col min="4" max="5" width="7.44140625" customWidth="1"/>
    <col min="6" max="6" width="7.5546875" customWidth="1"/>
    <col min="7" max="8" width="8.109375" customWidth="1"/>
    <col min="9" max="9" width="8" customWidth="1"/>
    <col min="10" max="14" width="8.109375" customWidth="1"/>
    <col min="15" max="15" width="8" customWidth="1"/>
    <col min="16" max="16" width="9.44140625" customWidth="1"/>
    <col min="17" max="19" width="8" customWidth="1"/>
    <col min="20" max="41" width="9.44140625" customWidth="1"/>
  </cols>
  <sheetData>
    <row r="1" spans="2:43" s="73" customFormat="1" ht="13.5" customHeight="1" x14ac:dyDescent="0.3">
      <c r="B1" s="74" t="s">
        <v>246</v>
      </c>
      <c r="C1" s="75"/>
      <c r="D1" s="76"/>
      <c r="E1" s="76"/>
      <c r="F1" s="77"/>
      <c r="G1" s="75"/>
      <c r="H1" s="75"/>
      <c r="I1" s="75"/>
      <c r="J1" s="75"/>
      <c r="K1" s="75"/>
      <c r="L1" s="75"/>
      <c r="M1" s="75"/>
      <c r="N1" s="75"/>
      <c r="O1" s="75"/>
      <c r="P1" s="75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5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</row>
    <row r="2" spans="2:43" s="73" customFormat="1" ht="13.5" customHeight="1" x14ac:dyDescent="0.3">
      <c r="B2" s="74"/>
      <c r="C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AC2" s="77"/>
    </row>
    <row r="3" spans="2:43" s="78" customFormat="1" ht="13.5" customHeight="1" x14ac:dyDescent="0.3">
      <c r="B3" s="78" t="s">
        <v>247</v>
      </c>
      <c r="C3" s="77"/>
      <c r="D3" s="79">
        <v>46053</v>
      </c>
      <c r="E3" s="79">
        <v>46081</v>
      </c>
      <c r="F3" s="79">
        <v>46112</v>
      </c>
      <c r="G3" s="79">
        <v>46142</v>
      </c>
      <c r="H3" s="79">
        <v>46173</v>
      </c>
      <c r="I3" s="79">
        <v>46203</v>
      </c>
      <c r="J3" s="79">
        <v>46234</v>
      </c>
      <c r="K3" s="79">
        <v>46265</v>
      </c>
      <c r="L3" s="79">
        <v>46295</v>
      </c>
      <c r="M3" s="79">
        <v>46326</v>
      </c>
      <c r="N3" s="79">
        <v>46356</v>
      </c>
      <c r="O3" s="79">
        <v>46387</v>
      </c>
      <c r="P3" s="77"/>
      <c r="Q3" s="79">
        <v>46418</v>
      </c>
      <c r="R3" s="79">
        <v>46446</v>
      </c>
      <c r="S3" s="79">
        <v>46477</v>
      </c>
      <c r="T3" s="79">
        <v>46507</v>
      </c>
      <c r="U3" s="79">
        <v>46538</v>
      </c>
      <c r="V3" s="79">
        <v>46568</v>
      </c>
      <c r="W3" s="79">
        <v>46599</v>
      </c>
      <c r="X3" s="79">
        <v>46630</v>
      </c>
      <c r="Y3" s="79">
        <v>46660</v>
      </c>
      <c r="Z3" s="79">
        <v>46691</v>
      </c>
      <c r="AA3" s="79">
        <v>46721</v>
      </c>
      <c r="AB3" s="79">
        <v>46752</v>
      </c>
      <c r="AC3" s="77"/>
      <c r="AD3" s="79">
        <v>46783</v>
      </c>
      <c r="AE3" s="79">
        <v>46812</v>
      </c>
      <c r="AF3" s="79">
        <v>46843</v>
      </c>
      <c r="AG3" s="79">
        <v>46873</v>
      </c>
      <c r="AH3" s="79">
        <v>46904</v>
      </c>
      <c r="AI3" s="79">
        <v>46934</v>
      </c>
      <c r="AJ3" s="79">
        <v>46965</v>
      </c>
      <c r="AK3" s="79">
        <v>46996</v>
      </c>
      <c r="AL3" s="79">
        <v>47026</v>
      </c>
      <c r="AM3" s="79">
        <v>47057</v>
      </c>
      <c r="AN3" s="79">
        <v>47087</v>
      </c>
      <c r="AO3" s="79">
        <v>47118</v>
      </c>
      <c r="AP3" s="73"/>
      <c r="AQ3" s="73"/>
    </row>
    <row r="4" spans="2:43" s="73" customFormat="1" ht="13.5" customHeight="1" x14ac:dyDescent="0.3">
      <c r="C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AC4" s="77"/>
    </row>
    <row r="5" spans="2:43" s="73" customFormat="1" ht="13.5" customHeight="1" x14ac:dyDescent="0.3">
      <c r="B5" s="80" t="s">
        <v>248</v>
      </c>
      <c r="C5" s="81"/>
      <c r="D5" s="80">
        <f>+'Prévisions mensuelles'!D109</f>
        <v>0</v>
      </c>
      <c r="E5" s="80">
        <f>+'Prévisions mensuelles'!E109</f>
        <v>25516.666666666664</v>
      </c>
      <c r="F5" s="80">
        <f>+'Prévisions mensuelles'!F109</f>
        <v>27376.722222222219</v>
      </c>
      <c r="G5" s="80">
        <f>+'Prévisions mensuelles'!G109</f>
        <v>28161.002962962961</v>
      </c>
      <c r="H5" s="80">
        <f>+'Prévisions mensuelles'!H109</f>
        <v>28542.845195061731</v>
      </c>
      <c r="I5" s="80">
        <f>+'Prévisions mensuelles'!I109</f>
        <v>28925.585234600825</v>
      </c>
      <c r="J5" s="80">
        <f>+'Prévisions mensuelles'!J109</f>
        <v>29309.226074271719</v>
      </c>
      <c r="K5" s="80">
        <f>+'Prévisions mensuelles'!K109</f>
        <v>29693.770716741514</v>
      </c>
      <c r="L5" s="80">
        <f>+'Prévisions mensuelles'!L109</f>
        <v>30079.222174686209</v>
      </c>
      <c r="M5" s="80">
        <f>+'Prévisions mensuelles'!M109</f>
        <v>30465.583470824058</v>
      </c>
      <c r="N5" s="80">
        <f>+'Prévisions mensuelles'!N109</f>
        <v>30852.857637949026</v>
      </c>
      <c r="O5" s="80">
        <f>+'Prévisions mensuelles'!O109</f>
        <v>31241.047718964412</v>
      </c>
      <c r="P5" s="80">
        <f>+'Prévisions mensuelles'!P109</f>
        <v>31630.15676691652</v>
      </c>
      <c r="Q5" s="80">
        <f>+'Prévisions mensuelles'!Q109</f>
        <v>31630.15676691652</v>
      </c>
      <c r="R5" s="80">
        <f>+'Prévisions mensuelles'!R109</f>
        <v>27467.5211783618</v>
      </c>
      <c r="S5" s="80">
        <f>+'Prévisions mensuelles'!S109</f>
        <v>33896.144026734117</v>
      </c>
      <c r="T5" s="80">
        <f>+'Prévisions mensuelles'!T109</f>
        <v>38075.695062378785</v>
      </c>
      <c r="U5" s="80">
        <f>+'Prévisions mensuelles'!U109</f>
        <v>42256.177379253379</v>
      </c>
      <c r="V5" s="80">
        <f>+'Prévisions mensuelles'!V109</f>
        <v>44596.195566591196</v>
      </c>
      <c r="W5" s="80">
        <f>+'Prévisions mensuelles'!W109</f>
        <v>47857.850511566772</v>
      </c>
      <c r="X5" s="80">
        <f>+'Prévisions mensuelles'!X109</f>
        <v>52041.145339180512</v>
      </c>
      <c r="Y5" s="80">
        <f>+'Prévisions mensuelles'!Y109</f>
        <v>56225.383927330746</v>
      </c>
      <c r="Z5" s="80">
        <f>+'Prévisions mensuelles'!Z109</f>
        <v>59950.219793126562</v>
      </c>
      <c r="AA5" s="80">
        <f>+'Prévisions mensuelles'!AA109</f>
        <v>64136.355350441372</v>
      </c>
      <c r="AB5" s="80">
        <f>+'Prévisions mensuelles'!AB109</f>
        <v>68323.444137391678</v>
      </c>
      <c r="AC5" s="80">
        <f>+'Prévisions mensuelles'!AC109</f>
        <v>72051.139702650224</v>
      </c>
      <c r="AD5" s="80">
        <f>+'Prévisions mensuelles'!AD109</f>
        <v>72051.139702650224</v>
      </c>
      <c r="AE5" s="80">
        <f>+'Prévisions mensuelles'!AE109</f>
        <v>69813.477825092647</v>
      </c>
      <c r="AF5" s="80">
        <f>+'Prévisions mensuelles'!AF109</f>
        <v>80075.945407943203</v>
      </c>
      <c r="AG5" s="80">
        <f>+'Prévisions mensuelles'!AG109</f>
        <v>85114.746912651346</v>
      </c>
      <c r="AH5" s="80">
        <f>+'Prévisions mensuelles'!AH109</f>
        <v>92562.483054953307</v>
      </c>
      <c r="AI5" s="80">
        <f>+'Prévisions mensuelles'!AI109</f>
        <v>92220.728507981592</v>
      </c>
      <c r="AJ5" s="80">
        <f>+'Prévisions mensuelles'!AJ109</f>
        <v>97262.447384881874</v>
      </c>
      <c r="AK5" s="80">
        <f>+'Prévisions mensuelles'!AK109</f>
        <v>104713.11062394998</v>
      </c>
      <c r="AL5" s="80">
        <f>+'Prévisions mensuelles'!AL109</f>
        <v>112164.75607381496</v>
      </c>
      <c r="AM5" s="80">
        <f>+'Prévisions mensuelles'!AM109</f>
        <v>117209.42159398313</v>
      </c>
      <c r="AN5" s="80">
        <f>+'Prévisions mensuelles'!AN109</f>
        <v>124663.04129846334</v>
      </c>
      <c r="AO5" s="80">
        <f>+'Prévisions mensuelles'!AO109</f>
        <v>132117.65306862516</v>
      </c>
    </row>
    <row r="6" spans="2:43" s="73" customFormat="1" ht="13.5" customHeight="1" x14ac:dyDescent="0.3">
      <c r="B6" s="77"/>
      <c r="C6" s="81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</row>
    <row r="7" spans="2:43" s="76" customFormat="1" ht="13.5" customHeight="1" x14ac:dyDescent="0.3">
      <c r="B7" s="82" t="s">
        <v>249</v>
      </c>
      <c r="C7" s="83">
        <f>+'Prévisions mensuelles'!C111</f>
        <v>154300</v>
      </c>
      <c r="D7" s="83">
        <f>+'Prévisions mensuelles'!D111</f>
        <v>30000</v>
      </c>
      <c r="E7" s="83">
        <f>+'Prévisions mensuelles'!E111</f>
        <v>11300.000000000002</v>
      </c>
      <c r="F7" s="83">
        <f>+'Prévisions mensuelles'!F111</f>
        <v>11300.000000000002</v>
      </c>
      <c r="G7" s="83">
        <f>+'Prévisions mensuelles'!G111</f>
        <v>11300.000000000002</v>
      </c>
      <c r="H7" s="83">
        <f>+'Prévisions mensuelles'!H111</f>
        <v>11300.000000000002</v>
      </c>
      <c r="I7" s="83">
        <f>+'Prévisions mensuelles'!I111</f>
        <v>11300.000000000002</v>
      </c>
      <c r="J7" s="83">
        <f>+'Prévisions mensuelles'!J111</f>
        <v>11300.000000000002</v>
      </c>
      <c r="K7" s="83">
        <f>+'Prévisions mensuelles'!K111</f>
        <v>11300.000000000002</v>
      </c>
      <c r="L7" s="83">
        <f>+'Prévisions mensuelles'!L111</f>
        <v>11300.000000000002</v>
      </c>
      <c r="M7" s="83">
        <f>+'Prévisions mensuelles'!M111</f>
        <v>11300.000000000002</v>
      </c>
      <c r="N7" s="83">
        <f>+'Prévisions mensuelles'!N111</f>
        <v>11300.000000000002</v>
      </c>
      <c r="O7" s="83">
        <f>+'Prévisions mensuelles'!O111</f>
        <v>11300.000000000002</v>
      </c>
      <c r="P7" s="83">
        <f>+'Prévisions mensuelles'!P111</f>
        <v>284100</v>
      </c>
      <c r="Q7" s="83">
        <f>+'Prévisions mensuelles'!Q111</f>
        <v>11300.000000000002</v>
      </c>
      <c r="R7" s="83">
        <f>+'Prévisions mensuelles'!R111</f>
        <v>24800</v>
      </c>
      <c r="S7" s="83">
        <f>+'Prévisions mensuelles'!S111</f>
        <v>24800</v>
      </c>
      <c r="T7" s="83">
        <f>+'Prévisions mensuelles'!T111</f>
        <v>24800</v>
      </c>
      <c r="U7" s="83">
        <f>+'Prévisions mensuelles'!U111</f>
        <v>24800</v>
      </c>
      <c r="V7" s="83">
        <f>+'Prévisions mensuelles'!V111</f>
        <v>24800</v>
      </c>
      <c r="W7" s="83">
        <f>+'Prévisions mensuelles'!W111</f>
        <v>24800</v>
      </c>
      <c r="X7" s="83">
        <f>+'Prévisions mensuelles'!X111</f>
        <v>24800</v>
      </c>
      <c r="Y7" s="83">
        <f>+'Prévisions mensuelles'!Y111</f>
        <v>24800</v>
      </c>
      <c r="Z7" s="83">
        <f>+'Prévisions mensuelles'!Z111</f>
        <v>24800</v>
      </c>
      <c r="AA7" s="83">
        <f>+'Prévisions mensuelles'!AA111</f>
        <v>24800</v>
      </c>
      <c r="AB7" s="83">
        <f>+'Prévisions mensuelles'!AB111</f>
        <v>24800</v>
      </c>
      <c r="AC7" s="83">
        <f>+'Prévisions mensuelles'!AC111</f>
        <v>483500</v>
      </c>
      <c r="AD7" s="83">
        <f>+'Prévisions mensuelles'!AD111</f>
        <v>24800</v>
      </c>
      <c r="AE7" s="83">
        <f>+'Prévisions mensuelles'!AE111</f>
        <v>41700</v>
      </c>
      <c r="AF7" s="83">
        <f>+'Prévisions mensuelles'!AF111</f>
        <v>41700</v>
      </c>
      <c r="AG7" s="83">
        <f>+'Prévisions mensuelles'!AG111</f>
        <v>41700</v>
      </c>
      <c r="AH7" s="83">
        <f>+'Prévisions mensuelles'!AH111</f>
        <v>41700</v>
      </c>
      <c r="AI7" s="83">
        <f>+'Prévisions mensuelles'!AI111</f>
        <v>41700</v>
      </c>
      <c r="AJ7" s="83">
        <f>+'Prévisions mensuelles'!AJ111</f>
        <v>41700</v>
      </c>
      <c r="AK7" s="83">
        <f>+'Prévisions mensuelles'!AK111</f>
        <v>41700</v>
      </c>
      <c r="AL7" s="83">
        <f>+'Prévisions mensuelles'!AL111</f>
        <v>41700</v>
      </c>
      <c r="AM7" s="83">
        <f>+'Prévisions mensuelles'!AM111</f>
        <v>41700</v>
      </c>
      <c r="AN7" s="83">
        <f>+'Prévisions mensuelles'!AN111</f>
        <v>41700</v>
      </c>
      <c r="AO7" s="83">
        <f>+'Prévisions mensuelles'!AO111</f>
        <v>41700</v>
      </c>
    </row>
    <row r="8" spans="2:43" s="73" customFormat="1" ht="13.5" customHeight="1" x14ac:dyDescent="0.3">
      <c r="B8" s="84" t="s">
        <v>250</v>
      </c>
      <c r="C8" s="85">
        <f>+'Prévisions mensuelles'!C112</f>
        <v>10000</v>
      </c>
      <c r="D8" s="84">
        <f>+'Prévisions mensuelles'!D112</f>
        <v>10000</v>
      </c>
      <c r="E8" s="84">
        <f>+'Prévisions mensuelles'!E112</f>
        <v>0</v>
      </c>
      <c r="F8" s="84">
        <f>+'Prévisions mensuelles'!F112</f>
        <v>0</v>
      </c>
      <c r="G8" s="84">
        <f>+'Prévisions mensuelles'!G112</f>
        <v>0</v>
      </c>
      <c r="H8" s="84">
        <f>+'Prévisions mensuelles'!H112</f>
        <v>0</v>
      </c>
      <c r="I8" s="84">
        <f>+'Prévisions mensuelles'!I112</f>
        <v>0</v>
      </c>
      <c r="J8" s="84">
        <f>+'Prévisions mensuelles'!J112</f>
        <v>0</v>
      </c>
      <c r="K8" s="84">
        <f>+'Prévisions mensuelles'!K112</f>
        <v>0</v>
      </c>
      <c r="L8" s="84">
        <f>+'Prévisions mensuelles'!L112</f>
        <v>0</v>
      </c>
      <c r="M8" s="84">
        <f>+'Prévisions mensuelles'!M112</f>
        <v>0</v>
      </c>
      <c r="N8" s="84">
        <f>+'Prévisions mensuelles'!N112</f>
        <v>0</v>
      </c>
      <c r="O8" s="84">
        <f>+'Prévisions mensuelles'!O112</f>
        <v>0</v>
      </c>
      <c r="P8" s="85">
        <f>+'Prévisions mensuelles'!P112</f>
        <v>0</v>
      </c>
      <c r="Q8" s="84">
        <f>+'Prévisions mensuelles'!Q112</f>
        <v>0</v>
      </c>
      <c r="R8" s="84">
        <f>+'Prévisions mensuelles'!R112</f>
        <v>0</v>
      </c>
      <c r="S8" s="84">
        <f>+'Prévisions mensuelles'!S112</f>
        <v>0</v>
      </c>
      <c r="T8" s="84">
        <f>+'Prévisions mensuelles'!T112</f>
        <v>0</v>
      </c>
      <c r="U8" s="84">
        <f>+'Prévisions mensuelles'!U112</f>
        <v>0</v>
      </c>
      <c r="V8" s="84">
        <f>+'Prévisions mensuelles'!V112</f>
        <v>0</v>
      </c>
      <c r="W8" s="84">
        <f>+'Prévisions mensuelles'!W112</f>
        <v>0</v>
      </c>
      <c r="X8" s="84">
        <f>+'Prévisions mensuelles'!X112</f>
        <v>0</v>
      </c>
      <c r="Y8" s="84">
        <f>+'Prévisions mensuelles'!Y112</f>
        <v>0</v>
      </c>
      <c r="Z8" s="84">
        <f>+'Prévisions mensuelles'!Z112</f>
        <v>0</v>
      </c>
      <c r="AA8" s="84">
        <f>+'Prévisions mensuelles'!AA112</f>
        <v>0</v>
      </c>
      <c r="AB8" s="84">
        <f>+'Prévisions mensuelles'!AB112</f>
        <v>0</v>
      </c>
      <c r="AC8" s="85">
        <f>+'Prévisions mensuelles'!AC112</f>
        <v>0</v>
      </c>
      <c r="AD8" s="84">
        <f>+'Prévisions mensuelles'!AD112</f>
        <v>0</v>
      </c>
      <c r="AE8" s="84">
        <f>+'Prévisions mensuelles'!AE112</f>
        <v>0</v>
      </c>
      <c r="AF8" s="84">
        <f>+'Prévisions mensuelles'!AF112</f>
        <v>0</v>
      </c>
      <c r="AG8" s="84">
        <f>+'Prévisions mensuelles'!AG112</f>
        <v>0</v>
      </c>
      <c r="AH8" s="84">
        <f>+'Prévisions mensuelles'!AH112</f>
        <v>0</v>
      </c>
      <c r="AI8" s="84">
        <f>+'Prévisions mensuelles'!AI112</f>
        <v>0</v>
      </c>
      <c r="AJ8" s="84">
        <f>+'Prévisions mensuelles'!AJ112</f>
        <v>0</v>
      </c>
      <c r="AK8" s="84">
        <f>+'Prévisions mensuelles'!AK112</f>
        <v>0</v>
      </c>
      <c r="AL8" s="84">
        <f>+'Prévisions mensuelles'!AL112</f>
        <v>0</v>
      </c>
      <c r="AM8" s="84">
        <f>+'Prévisions mensuelles'!AM112</f>
        <v>0</v>
      </c>
      <c r="AN8" s="84">
        <f>+'Prévisions mensuelles'!AN112</f>
        <v>0</v>
      </c>
      <c r="AO8" s="84">
        <f>+'Prévisions mensuelles'!AO112</f>
        <v>0</v>
      </c>
    </row>
    <row r="9" spans="2:43" s="73" customFormat="1" ht="13.5" customHeight="1" x14ac:dyDescent="0.3">
      <c r="B9" s="84" t="s">
        <v>251</v>
      </c>
      <c r="C9" s="85">
        <f>+'Prévisions mensuelles'!C113</f>
        <v>124300.00000000001</v>
      </c>
      <c r="D9" s="86">
        <f>+'Prévisions mensuelles'!D113</f>
        <v>0</v>
      </c>
      <c r="E9" s="86">
        <f>+'Prévisions mensuelles'!E113</f>
        <v>11300.000000000002</v>
      </c>
      <c r="F9" s="86">
        <f>+'Prévisions mensuelles'!F113</f>
        <v>11300.000000000002</v>
      </c>
      <c r="G9" s="86">
        <f>+'Prévisions mensuelles'!G113</f>
        <v>11300.000000000002</v>
      </c>
      <c r="H9" s="86">
        <f>+'Prévisions mensuelles'!H113</f>
        <v>11300.000000000002</v>
      </c>
      <c r="I9" s="86">
        <f>+'Prévisions mensuelles'!I113</f>
        <v>11300.000000000002</v>
      </c>
      <c r="J9" s="86">
        <f>+'Prévisions mensuelles'!J113</f>
        <v>11300.000000000002</v>
      </c>
      <c r="K9" s="86">
        <f>+'Prévisions mensuelles'!K113</f>
        <v>11300.000000000002</v>
      </c>
      <c r="L9" s="86">
        <f>+'Prévisions mensuelles'!L113</f>
        <v>11300.000000000002</v>
      </c>
      <c r="M9" s="86">
        <f>+'Prévisions mensuelles'!M113</f>
        <v>11300.000000000002</v>
      </c>
      <c r="N9" s="86">
        <f>+'Prévisions mensuelles'!N113</f>
        <v>11300.000000000002</v>
      </c>
      <c r="O9" s="86">
        <f>+'Prévisions mensuelles'!O113</f>
        <v>11300.000000000002</v>
      </c>
      <c r="P9" s="86">
        <f>+'Prévisions mensuelles'!P113</f>
        <v>284100</v>
      </c>
      <c r="Q9" s="86">
        <f>+'Prévisions mensuelles'!Q113</f>
        <v>11300.000000000002</v>
      </c>
      <c r="R9" s="86">
        <f>+'Prévisions mensuelles'!R113</f>
        <v>24800</v>
      </c>
      <c r="S9" s="86">
        <f>+'Prévisions mensuelles'!S113</f>
        <v>24800</v>
      </c>
      <c r="T9" s="86">
        <f>+'Prévisions mensuelles'!T113</f>
        <v>24800</v>
      </c>
      <c r="U9" s="86">
        <f>+'Prévisions mensuelles'!U113</f>
        <v>24800</v>
      </c>
      <c r="V9" s="86">
        <f>+'Prévisions mensuelles'!V113</f>
        <v>24800</v>
      </c>
      <c r="W9" s="86">
        <f>+'Prévisions mensuelles'!W113</f>
        <v>24800</v>
      </c>
      <c r="X9" s="86">
        <f>+'Prévisions mensuelles'!X113</f>
        <v>24800</v>
      </c>
      <c r="Y9" s="86">
        <f>+'Prévisions mensuelles'!Y113</f>
        <v>24800</v>
      </c>
      <c r="Z9" s="86">
        <f>+'Prévisions mensuelles'!Z113</f>
        <v>24800</v>
      </c>
      <c r="AA9" s="86">
        <f>+'Prévisions mensuelles'!AA113</f>
        <v>24800</v>
      </c>
      <c r="AB9" s="86">
        <f>+'Prévisions mensuelles'!AB113</f>
        <v>24800</v>
      </c>
      <c r="AC9" s="86">
        <f>+'Prévisions mensuelles'!AC113</f>
        <v>483500</v>
      </c>
      <c r="AD9" s="86">
        <f>+'Prévisions mensuelles'!AD113</f>
        <v>24800</v>
      </c>
      <c r="AE9" s="86">
        <f>+'Prévisions mensuelles'!AE113</f>
        <v>41700</v>
      </c>
      <c r="AF9" s="86">
        <f>+'Prévisions mensuelles'!AF113</f>
        <v>41700</v>
      </c>
      <c r="AG9" s="86">
        <f>+'Prévisions mensuelles'!AG113</f>
        <v>41700</v>
      </c>
      <c r="AH9" s="86">
        <f>+'Prévisions mensuelles'!AH113</f>
        <v>41700</v>
      </c>
      <c r="AI9" s="86">
        <f>+'Prévisions mensuelles'!AI113</f>
        <v>41700</v>
      </c>
      <c r="AJ9" s="86">
        <f>+'Prévisions mensuelles'!AJ113</f>
        <v>41700</v>
      </c>
      <c r="AK9" s="86">
        <f>+'Prévisions mensuelles'!AK113</f>
        <v>41700</v>
      </c>
      <c r="AL9" s="86">
        <f>+'Prévisions mensuelles'!AL113</f>
        <v>41700</v>
      </c>
      <c r="AM9" s="86">
        <f>+'Prévisions mensuelles'!AM113</f>
        <v>41700</v>
      </c>
      <c r="AN9" s="86">
        <f>+'Prévisions mensuelles'!AN113</f>
        <v>41700</v>
      </c>
      <c r="AO9" s="86">
        <f>+'Prévisions mensuelles'!AO113</f>
        <v>41700</v>
      </c>
    </row>
    <row r="10" spans="2:43" s="73" customFormat="1" ht="13.5" customHeight="1" x14ac:dyDescent="0.3">
      <c r="B10" s="84" t="s">
        <v>252</v>
      </c>
      <c r="C10" s="85">
        <f>+'Prévisions mensuelles'!C114</f>
        <v>0</v>
      </c>
      <c r="D10" s="84">
        <f>+'Prévisions mensuelles'!D114</f>
        <v>0</v>
      </c>
      <c r="E10" s="84">
        <f>+'Prévisions mensuelles'!E114</f>
        <v>0</v>
      </c>
      <c r="F10" s="84">
        <f>+'Prévisions mensuelles'!F114</f>
        <v>0</v>
      </c>
      <c r="G10" s="84">
        <f>+'Prévisions mensuelles'!G114</f>
        <v>0</v>
      </c>
      <c r="H10" s="84">
        <f>+'Prévisions mensuelles'!H114</f>
        <v>0</v>
      </c>
      <c r="I10" s="84">
        <f>+'Prévisions mensuelles'!I114</f>
        <v>0</v>
      </c>
      <c r="J10" s="84">
        <f>+'Prévisions mensuelles'!J114</f>
        <v>0</v>
      </c>
      <c r="K10" s="84">
        <f>+'Prévisions mensuelles'!K114</f>
        <v>0</v>
      </c>
      <c r="L10" s="84">
        <f>+'Prévisions mensuelles'!L114</f>
        <v>0</v>
      </c>
      <c r="M10" s="84">
        <f>+'Prévisions mensuelles'!M114</f>
        <v>0</v>
      </c>
      <c r="N10" s="84">
        <f>+'Prévisions mensuelles'!N114</f>
        <v>0</v>
      </c>
      <c r="O10" s="84">
        <f>+'Prévisions mensuelles'!O114</f>
        <v>0</v>
      </c>
      <c r="P10" s="85">
        <f>+'Prévisions mensuelles'!P114</f>
        <v>0</v>
      </c>
      <c r="Q10" s="84">
        <f>+'Prévisions mensuelles'!Q114</f>
        <v>0</v>
      </c>
      <c r="R10" s="84">
        <f>+'Prévisions mensuelles'!R114</f>
        <v>0</v>
      </c>
      <c r="S10" s="84">
        <f>+'Prévisions mensuelles'!S114</f>
        <v>0</v>
      </c>
      <c r="T10" s="84">
        <f>+'Prévisions mensuelles'!T114</f>
        <v>0</v>
      </c>
      <c r="U10" s="84">
        <f>+'Prévisions mensuelles'!U114</f>
        <v>0</v>
      </c>
      <c r="V10" s="84">
        <f>+'Prévisions mensuelles'!V114</f>
        <v>0</v>
      </c>
      <c r="W10" s="84">
        <f>+'Prévisions mensuelles'!W114</f>
        <v>0</v>
      </c>
      <c r="X10" s="84">
        <f>+'Prévisions mensuelles'!X114</f>
        <v>0</v>
      </c>
      <c r="Y10" s="84">
        <f>+'Prévisions mensuelles'!Y114</f>
        <v>0</v>
      </c>
      <c r="Z10" s="84">
        <f>+'Prévisions mensuelles'!Z114</f>
        <v>0</v>
      </c>
      <c r="AA10" s="84">
        <f>+'Prévisions mensuelles'!AA114</f>
        <v>0</v>
      </c>
      <c r="AB10" s="84">
        <f>+'Prévisions mensuelles'!AB114</f>
        <v>0</v>
      </c>
      <c r="AC10" s="85">
        <f>+'Prévisions mensuelles'!AC114</f>
        <v>0</v>
      </c>
      <c r="AD10" s="84">
        <f>+'Prévisions mensuelles'!AD114</f>
        <v>0</v>
      </c>
      <c r="AE10" s="84">
        <f>+'Prévisions mensuelles'!AE114</f>
        <v>0</v>
      </c>
      <c r="AF10" s="84">
        <f>+'Prévisions mensuelles'!AF114</f>
        <v>0</v>
      </c>
      <c r="AG10" s="84">
        <f>+'Prévisions mensuelles'!AG114</f>
        <v>0</v>
      </c>
      <c r="AH10" s="84">
        <f>+'Prévisions mensuelles'!AH114</f>
        <v>0</v>
      </c>
      <c r="AI10" s="84">
        <f>+'Prévisions mensuelles'!AI114</f>
        <v>0</v>
      </c>
      <c r="AJ10" s="84">
        <f>+'Prévisions mensuelles'!AJ114</f>
        <v>0</v>
      </c>
      <c r="AK10" s="84">
        <f>+'Prévisions mensuelles'!AK114</f>
        <v>0</v>
      </c>
      <c r="AL10" s="84">
        <f>+'Prévisions mensuelles'!AL114</f>
        <v>0</v>
      </c>
      <c r="AM10" s="84">
        <f>+'Prévisions mensuelles'!AM114</f>
        <v>0</v>
      </c>
      <c r="AN10" s="84">
        <f>+'Prévisions mensuelles'!AN114</f>
        <v>0</v>
      </c>
      <c r="AO10" s="84">
        <f>+'Prévisions mensuelles'!AO114</f>
        <v>0</v>
      </c>
    </row>
    <row r="11" spans="2:43" s="73" customFormat="1" ht="13.5" customHeight="1" x14ac:dyDescent="0.3">
      <c r="B11" s="84" t="s">
        <v>253</v>
      </c>
      <c r="C11" s="85">
        <f>+'Prévisions mensuelles'!C115</f>
        <v>20000</v>
      </c>
      <c r="D11" s="84">
        <f>+'Prévisions mensuelles'!D115</f>
        <v>20000</v>
      </c>
      <c r="E11" s="84">
        <f>+'Prévisions mensuelles'!E115</f>
        <v>0</v>
      </c>
      <c r="F11" s="84">
        <f>+'Prévisions mensuelles'!F115</f>
        <v>0</v>
      </c>
      <c r="G11" s="84">
        <f>+'Prévisions mensuelles'!G115</f>
        <v>0</v>
      </c>
      <c r="H11" s="84">
        <f>+'Prévisions mensuelles'!H115</f>
        <v>0</v>
      </c>
      <c r="I11" s="84">
        <f>+'Prévisions mensuelles'!I115</f>
        <v>0</v>
      </c>
      <c r="J11" s="84">
        <f>+'Prévisions mensuelles'!J115</f>
        <v>0</v>
      </c>
      <c r="K11" s="84">
        <f>+'Prévisions mensuelles'!K115</f>
        <v>0</v>
      </c>
      <c r="L11" s="84">
        <f>+'Prévisions mensuelles'!L115</f>
        <v>0</v>
      </c>
      <c r="M11" s="84">
        <f>+'Prévisions mensuelles'!M115</f>
        <v>0</v>
      </c>
      <c r="N11" s="84">
        <f>+'Prévisions mensuelles'!N115</f>
        <v>0</v>
      </c>
      <c r="O11" s="84">
        <f>+'Prévisions mensuelles'!O115</f>
        <v>0</v>
      </c>
      <c r="P11" s="85">
        <f>+'Prévisions mensuelles'!P115</f>
        <v>0</v>
      </c>
      <c r="Q11" s="84">
        <f>+'Prévisions mensuelles'!Q115</f>
        <v>0</v>
      </c>
      <c r="R11" s="84">
        <f>+'Prévisions mensuelles'!R115</f>
        <v>0</v>
      </c>
      <c r="S11" s="84">
        <f>+'Prévisions mensuelles'!S115</f>
        <v>0</v>
      </c>
      <c r="T11" s="84">
        <f>+'Prévisions mensuelles'!T115</f>
        <v>0</v>
      </c>
      <c r="U11" s="84">
        <f>+'Prévisions mensuelles'!U115</f>
        <v>0</v>
      </c>
      <c r="V11" s="84">
        <f>+'Prévisions mensuelles'!V115</f>
        <v>0</v>
      </c>
      <c r="W11" s="84">
        <f>+'Prévisions mensuelles'!W115</f>
        <v>0</v>
      </c>
      <c r="X11" s="84">
        <f>+'Prévisions mensuelles'!X115</f>
        <v>0</v>
      </c>
      <c r="Y11" s="84">
        <f>+'Prévisions mensuelles'!Y115</f>
        <v>0</v>
      </c>
      <c r="Z11" s="84">
        <f>+'Prévisions mensuelles'!Z115</f>
        <v>0</v>
      </c>
      <c r="AA11" s="84">
        <f>+'Prévisions mensuelles'!AA115</f>
        <v>0</v>
      </c>
      <c r="AB11" s="84">
        <f>+'Prévisions mensuelles'!AB115</f>
        <v>0</v>
      </c>
      <c r="AC11" s="85">
        <f>+'Prévisions mensuelles'!AC115</f>
        <v>0</v>
      </c>
      <c r="AD11" s="84">
        <f>+'Prévisions mensuelles'!AD115</f>
        <v>0</v>
      </c>
      <c r="AE11" s="84">
        <f>+'Prévisions mensuelles'!AE115</f>
        <v>0</v>
      </c>
      <c r="AF11" s="84">
        <f>+'Prévisions mensuelles'!AF115</f>
        <v>0</v>
      </c>
      <c r="AG11" s="84">
        <f>+'Prévisions mensuelles'!AG115</f>
        <v>0</v>
      </c>
      <c r="AH11" s="84">
        <f>+'Prévisions mensuelles'!AH115</f>
        <v>0</v>
      </c>
      <c r="AI11" s="84">
        <f>+'Prévisions mensuelles'!AI115</f>
        <v>0</v>
      </c>
      <c r="AJ11" s="84">
        <f>+'Prévisions mensuelles'!AJ115</f>
        <v>0</v>
      </c>
      <c r="AK11" s="84">
        <f>+'Prévisions mensuelles'!AK115</f>
        <v>0</v>
      </c>
      <c r="AL11" s="84">
        <f>+'Prévisions mensuelles'!AL115</f>
        <v>0</v>
      </c>
      <c r="AM11" s="84">
        <f>+'Prévisions mensuelles'!AM115</f>
        <v>0</v>
      </c>
      <c r="AN11" s="84">
        <f>+'Prévisions mensuelles'!AN115</f>
        <v>0</v>
      </c>
      <c r="AO11" s="84">
        <f>+'Prévisions mensuelles'!AO115</f>
        <v>0</v>
      </c>
    </row>
    <row r="12" spans="2:43" s="73" customFormat="1" ht="13.5" customHeight="1" x14ac:dyDescent="0.3"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</row>
    <row r="13" spans="2:43" s="76" customFormat="1" ht="13.5" customHeight="1" x14ac:dyDescent="0.3">
      <c r="B13" s="82" t="s">
        <v>254</v>
      </c>
      <c r="C13" s="83">
        <f>+'Prévisions mensuelles'!C117</f>
        <v>122669.84323308349</v>
      </c>
      <c r="D13" s="83">
        <f>+'Prévisions mensuelles'!D117</f>
        <v>4483.3333333333339</v>
      </c>
      <c r="E13" s="83">
        <f>+'Prévisions mensuelles'!E117</f>
        <v>9439.9444444444434</v>
      </c>
      <c r="F13" s="83">
        <f>+'Prévisions mensuelles'!F117</f>
        <v>10515.719259259258</v>
      </c>
      <c r="G13" s="83">
        <f>+'Prévisions mensuelles'!G117</f>
        <v>10918.157767901233</v>
      </c>
      <c r="H13" s="83">
        <f>+'Prévisions mensuelles'!H117</f>
        <v>10917.259960460904</v>
      </c>
      <c r="I13" s="83">
        <f>+'Prévisions mensuelles'!I117</f>
        <v>10916.359160329108</v>
      </c>
      <c r="J13" s="83">
        <f>+'Prévisions mensuelles'!J117</f>
        <v>10915.455357530205</v>
      </c>
      <c r="K13" s="83">
        <f>+'Prévisions mensuelles'!K117</f>
        <v>10914.548542055305</v>
      </c>
      <c r="L13" s="83">
        <f>+'Prévisions mensuelles'!L117</f>
        <v>10913.638703862156</v>
      </c>
      <c r="M13" s="83">
        <f>+'Prévisions mensuelles'!M117</f>
        <v>10912.72583287503</v>
      </c>
      <c r="N13" s="83">
        <f>+'Prévisions mensuelles'!N117</f>
        <v>10911.809918984614</v>
      </c>
      <c r="O13" s="83">
        <f>+'Prévisions mensuelles'!O117</f>
        <v>10910.890952047896</v>
      </c>
      <c r="P13" s="83">
        <f>+'Prévisions mensuelles'!P117</f>
        <v>243679.01706426629</v>
      </c>
      <c r="Q13" s="83">
        <f>+'Prévisions mensuelles'!Q117</f>
        <v>15462.635588554722</v>
      </c>
      <c r="R13" s="83">
        <f>+'Prévisions mensuelles'!R117</f>
        <v>18371.377151627683</v>
      </c>
      <c r="S13" s="83">
        <f>+'Prévisions mensuelles'!S117</f>
        <v>20620.448964355332</v>
      </c>
      <c r="T13" s="83">
        <f>+'Prévisions mensuelles'!T117</f>
        <v>20619.517683125403</v>
      </c>
      <c r="U13" s="83">
        <f>+'Prévisions mensuelles'!U117</f>
        <v>22459.981812662187</v>
      </c>
      <c r="V13" s="83">
        <f>+'Prévisions mensuelles'!V117</f>
        <v>21538.345055024423</v>
      </c>
      <c r="W13" s="83">
        <f>+'Prévisions mensuelles'!W117</f>
        <v>20616.705172386257</v>
      </c>
      <c r="X13" s="83">
        <f>+'Prévisions mensuelles'!X117</f>
        <v>20615.761411849766</v>
      </c>
      <c r="Y13" s="83">
        <f>+'Prévisions mensuelles'!Y117</f>
        <v>21075.164134204191</v>
      </c>
      <c r="Z13" s="83">
        <f>+'Prévisions mensuelles'!Z117</f>
        <v>20613.864442685193</v>
      </c>
      <c r="AA13" s="83">
        <f>+'Prévisions mensuelles'!AA117</f>
        <v>20612.911213049698</v>
      </c>
      <c r="AB13" s="83">
        <f>+'Prévisions mensuelles'!AB117</f>
        <v>21072.304434741458</v>
      </c>
      <c r="AC13" s="83">
        <f>+'Prévisions mensuelles'!AC117</f>
        <v>418385.84490582568</v>
      </c>
      <c r="AD13" s="83">
        <f>+'Prévisions mensuelles'!AD117</f>
        <v>27037.661877557584</v>
      </c>
      <c r="AE13" s="83">
        <f>+'Prévisions mensuelles'!AE117</f>
        <v>31437.532417149443</v>
      </c>
      <c r="AF13" s="83">
        <f>+'Prévisions mensuelles'!AF117</f>
        <v>36661.198495291865</v>
      </c>
      <c r="AG13" s="83">
        <f>+'Prévisions mensuelles'!AG117</f>
        <v>34252.263857698032</v>
      </c>
      <c r="AH13" s="83">
        <f>+'Prévisions mensuelles'!AH117</f>
        <v>42041.754546971715</v>
      </c>
      <c r="AI13" s="83">
        <f>+'Prévisions mensuelles'!AI117</f>
        <v>36658.281123099703</v>
      </c>
      <c r="AJ13" s="83">
        <f>+'Prévisions mensuelles'!AJ117</f>
        <v>34249.336760931896</v>
      </c>
      <c r="AK13" s="83">
        <f>+'Prévisions mensuelles'!AK117</f>
        <v>34248.354550135002</v>
      </c>
      <c r="AL13" s="83">
        <f>+'Prévisions mensuelles'!AL117</f>
        <v>36655.334479831829</v>
      </c>
      <c r="AM13" s="83">
        <f>+'Prévisions mensuelles'!AM117</f>
        <v>34246.38029551979</v>
      </c>
      <c r="AN13" s="83">
        <f>+'Prévisions mensuelles'!AN117</f>
        <v>34245.388229838194</v>
      </c>
      <c r="AO13" s="83">
        <f>+'Prévisions mensuelles'!AO117</f>
        <v>36652.358271800695</v>
      </c>
    </row>
    <row r="14" spans="2:43" s="73" customFormat="1" ht="13.5" customHeight="1" x14ac:dyDescent="0.3">
      <c r="B14" s="84" t="s">
        <v>255</v>
      </c>
      <c r="C14" s="85">
        <f>+'Prévisions mensuelles'!C118</f>
        <v>4000.0000000000005</v>
      </c>
      <c r="D14" s="84">
        <f>+'Prévisions mensuelles'!D118</f>
        <v>333.33333333333331</v>
      </c>
      <c r="E14" s="84">
        <f>+'Prévisions mensuelles'!E118</f>
        <v>333.33333333333331</v>
      </c>
      <c r="F14" s="84">
        <f>+'Prévisions mensuelles'!F118</f>
        <v>333.33333333333331</v>
      </c>
      <c r="G14" s="84">
        <f>+'Prévisions mensuelles'!G118</f>
        <v>333.33333333333331</v>
      </c>
      <c r="H14" s="84">
        <f>+'Prévisions mensuelles'!H118</f>
        <v>333.33333333333331</v>
      </c>
      <c r="I14" s="84">
        <f>+'Prévisions mensuelles'!I118</f>
        <v>333.33333333333331</v>
      </c>
      <c r="J14" s="84">
        <f>+'Prévisions mensuelles'!J118</f>
        <v>333.33333333333331</v>
      </c>
      <c r="K14" s="84">
        <f>+'Prévisions mensuelles'!K118</f>
        <v>333.33333333333331</v>
      </c>
      <c r="L14" s="84">
        <f>+'Prévisions mensuelles'!L118</f>
        <v>333.33333333333331</v>
      </c>
      <c r="M14" s="84">
        <f>+'Prévisions mensuelles'!M118</f>
        <v>333.33333333333331</v>
      </c>
      <c r="N14" s="84">
        <f>+'Prévisions mensuelles'!N118</f>
        <v>333.33333333333331</v>
      </c>
      <c r="O14" s="84">
        <f>+'Prévisions mensuelles'!O118</f>
        <v>333.33333333333331</v>
      </c>
      <c r="P14" s="85">
        <f>+'Prévisions mensuelles'!P118</f>
        <v>4000.0000000000005</v>
      </c>
      <c r="Q14" s="84">
        <f>+'Prévisions mensuelles'!Q118</f>
        <v>333.33333333333331</v>
      </c>
      <c r="R14" s="84">
        <f>+'Prévisions mensuelles'!R118</f>
        <v>333.33333333333331</v>
      </c>
      <c r="S14" s="84">
        <f>+'Prévisions mensuelles'!S118</f>
        <v>333.33333333333331</v>
      </c>
      <c r="T14" s="84">
        <f>+'Prévisions mensuelles'!T118</f>
        <v>333.33333333333331</v>
      </c>
      <c r="U14" s="84">
        <f>+'Prévisions mensuelles'!U118</f>
        <v>333.33333333333331</v>
      </c>
      <c r="V14" s="84">
        <f>+'Prévisions mensuelles'!V118</f>
        <v>333.33333333333331</v>
      </c>
      <c r="W14" s="84">
        <f>+'Prévisions mensuelles'!W118</f>
        <v>333.33333333333331</v>
      </c>
      <c r="X14" s="84">
        <f>+'Prévisions mensuelles'!X118</f>
        <v>333.33333333333331</v>
      </c>
      <c r="Y14" s="84">
        <f>+'Prévisions mensuelles'!Y118</f>
        <v>333.33333333333331</v>
      </c>
      <c r="Z14" s="84">
        <f>+'Prévisions mensuelles'!Z118</f>
        <v>333.33333333333331</v>
      </c>
      <c r="AA14" s="84">
        <f>+'Prévisions mensuelles'!AA118</f>
        <v>333.33333333333331</v>
      </c>
      <c r="AB14" s="84">
        <f>+'Prévisions mensuelles'!AB118</f>
        <v>333.33333333333331</v>
      </c>
      <c r="AC14" s="85">
        <f>+'Prévisions mensuelles'!AC118</f>
        <v>4000.0000000000005</v>
      </c>
      <c r="AD14" s="84">
        <f>+'Prévisions mensuelles'!AD118</f>
        <v>333.33333333333331</v>
      </c>
      <c r="AE14" s="84">
        <f>+'Prévisions mensuelles'!AE118</f>
        <v>333.33333333333331</v>
      </c>
      <c r="AF14" s="84">
        <f>+'Prévisions mensuelles'!AF118</f>
        <v>333.33333333333331</v>
      </c>
      <c r="AG14" s="84">
        <f>+'Prévisions mensuelles'!AG118</f>
        <v>333.33333333333331</v>
      </c>
      <c r="AH14" s="84">
        <f>+'Prévisions mensuelles'!AH118</f>
        <v>333.33333333333331</v>
      </c>
      <c r="AI14" s="84">
        <f>+'Prévisions mensuelles'!AI118</f>
        <v>333.33333333333331</v>
      </c>
      <c r="AJ14" s="84">
        <f>+'Prévisions mensuelles'!AJ118</f>
        <v>333.33333333333331</v>
      </c>
      <c r="AK14" s="84">
        <f>+'Prévisions mensuelles'!AK118</f>
        <v>333.33333333333331</v>
      </c>
      <c r="AL14" s="84">
        <f>+'Prévisions mensuelles'!AL118</f>
        <v>333.33333333333331</v>
      </c>
      <c r="AM14" s="84">
        <f>+'Prévisions mensuelles'!AM118</f>
        <v>333.33333333333331</v>
      </c>
      <c r="AN14" s="84">
        <f>+'Prévisions mensuelles'!AN118</f>
        <v>333.33333333333331</v>
      </c>
      <c r="AO14" s="84">
        <f>+'Prévisions mensuelles'!AO118</f>
        <v>333.33333333333331</v>
      </c>
    </row>
    <row r="15" spans="2:43" s="73" customFormat="1" ht="13.5" customHeight="1" x14ac:dyDescent="0.3">
      <c r="B15" s="84" t="s">
        <v>215</v>
      </c>
      <c r="C15" s="85">
        <f>+'Prévisions mensuelles'!C119</f>
        <v>6050</v>
      </c>
      <c r="D15" s="84">
        <f>+'Prévisions mensuelles'!D119</f>
        <v>0</v>
      </c>
      <c r="E15" s="84">
        <f>+'Prévisions mensuelles'!E119</f>
        <v>550</v>
      </c>
      <c r="F15" s="84">
        <f>+'Prévisions mensuelles'!F119</f>
        <v>550</v>
      </c>
      <c r="G15" s="84">
        <f>+'Prévisions mensuelles'!G119</f>
        <v>550</v>
      </c>
      <c r="H15" s="84">
        <f>+'Prévisions mensuelles'!H119</f>
        <v>550</v>
      </c>
      <c r="I15" s="84">
        <f>+'Prévisions mensuelles'!I119</f>
        <v>550</v>
      </c>
      <c r="J15" s="84">
        <f>+'Prévisions mensuelles'!J119</f>
        <v>550</v>
      </c>
      <c r="K15" s="84">
        <f>+'Prévisions mensuelles'!K119</f>
        <v>550</v>
      </c>
      <c r="L15" s="84">
        <f>+'Prévisions mensuelles'!L119</f>
        <v>550</v>
      </c>
      <c r="M15" s="84">
        <f>+'Prévisions mensuelles'!M119</f>
        <v>550</v>
      </c>
      <c r="N15" s="84">
        <f>+'Prévisions mensuelles'!N119</f>
        <v>550</v>
      </c>
      <c r="O15" s="84">
        <f>+'Prévisions mensuelles'!O119</f>
        <v>550</v>
      </c>
      <c r="P15" s="85">
        <f>+'Prévisions mensuelles'!P119</f>
        <v>2750</v>
      </c>
      <c r="Q15" s="84">
        <f>+'Prévisions mensuelles'!Q119</f>
        <v>550</v>
      </c>
      <c r="R15" s="84">
        <f>+'Prévisions mensuelles'!R119</f>
        <v>199.99999999999997</v>
      </c>
      <c r="S15" s="84">
        <f>+'Prévisions mensuelles'!S119</f>
        <v>199.99999999999997</v>
      </c>
      <c r="T15" s="84">
        <f>+'Prévisions mensuelles'!T119</f>
        <v>199.99999999999997</v>
      </c>
      <c r="U15" s="84">
        <f>+'Prévisions mensuelles'!U119</f>
        <v>199.99999999999997</v>
      </c>
      <c r="V15" s="84">
        <f>+'Prévisions mensuelles'!V119</f>
        <v>199.99999999999997</v>
      </c>
      <c r="W15" s="84">
        <f>+'Prévisions mensuelles'!W119</f>
        <v>199.99999999999997</v>
      </c>
      <c r="X15" s="84">
        <f>+'Prévisions mensuelles'!X119</f>
        <v>199.99999999999997</v>
      </c>
      <c r="Y15" s="84">
        <f>+'Prévisions mensuelles'!Y119</f>
        <v>199.99999999999997</v>
      </c>
      <c r="Z15" s="84">
        <f>+'Prévisions mensuelles'!Z119</f>
        <v>199.99999999999997</v>
      </c>
      <c r="AA15" s="84">
        <f>+'Prévisions mensuelles'!AA119</f>
        <v>199.99999999999997</v>
      </c>
      <c r="AB15" s="84">
        <f>+'Prévisions mensuelles'!AB119</f>
        <v>199.99999999999997</v>
      </c>
      <c r="AC15" s="85">
        <f>+'Prévisions mensuelles'!AC119</f>
        <v>2949.9999999999995</v>
      </c>
      <c r="AD15" s="84">
        <f>+'Prévisions mensuelles'!AD119</f>
        <v>199.99999999999997</v>
      </c>
      <c r="AE15" s="84">
        <f>+'Prévisions mensuelles'!AE119</f>
        <v>249.99999999999997</v>
      </c>
      <c r="AF15" s="84">
        <f>+'Prévisions mensuelles'!AF119</f>
        <v>249.99999999999997</v>
      </c>
      <c r="AG15" s="84">
        <f>+'Prévisions mensuelles'!AG119</f>
        <v>249.99999999999997</v>
      </c>
      <c r="AH15" s="84">
        <f>+'Prévisions mensuelles'!AH119</f>
        <v>249.99999999999997</v>
      </c>
      <c r="AI15" s="84">
        <f>+'Prévisions mensuelles'!AI119</f>
        <v>249.99999999999997</v>
      </c>
      <c r="AJ15" s="84">
        <f>+'Prévisions mensuelles'!AJ119</f>
        <v>249.99999999999997</v>
      </c>
      <c r="AK15" s="84">
        <f>+'Prévisions mensuelles'!AK119</f>
        <v>249.99999999999997</v>
      </c>
      <c r="AL15" s="84">
        <f>+'Prévisions mensuelles'!AL119</f>
        <v>249.99999999999997</v>
      </c>
      <c r="AM15" s="84">
        <f>+'Prévisions mensuelles'!AM119</f>
        <v>249.99999999999997</v>
      </c>
      <c r="AN15" s="84">
        <f>+'Prévisions mensuelles'!AN119</f>
        <v>249.99999999999997</v>
      </c>
      <c r="AO15" s="84">
        <f>+'Prévisions mensuelles'!AO119</f>
        <v>249.99999999999997</v>
      </c>
    </row>
    <row r="16" spans="2:43" s="73" customFormat="1" ht="13.5" customHeight="1" x14ac:dyDescent="0.3">
      <c r="B16" s="84" t="s">
        <v>256</v>
      </c>
      <c r="C16" s="85">
        <f>+'Prévisions mensuelles'!C120</f>
        <v>20569.999999999996</v>
      </c>
      <c r="D16" s="84">
        <f>+'Prévisions mensuelles'!D120</f>
        <v>0</v>
      </c>
      <c r="E16" s="84">
        <f>+'Prévisions mensuelles'!E120</f>
        <v>1869.9999999999998</v>
      </c>
      <c r="F16" s="84">
        <f>+'Prévisions mensuelles'!F120</f>
        <v>1869.9999999999998</v>
      </c>
      <c r="G16" s="84">
        <f>+'Prévisions mensuelles'!G120</f>
        <v>1869.9999999999998</v>
      </c>
      <c r="H16" s="84">
        <f>+'Prévisions mensuelles'!H120</f>
        <v>1869.9999999999998</v>
      </c>
      <c r="I16" s="84">
        <f>+'Prévisions mensuelles'!I120</f>
        <v>1869.9999999999998</v>
      </c>
      <c r="J16" s="84">
        <f>+'Prévisions mensuelles'!J120</f>
        <v>1869.9999999999998</v>
      </c>
      <c r="K16" s="84">
        <f>+'Prévisions mensuelles'!K120</f>
        <v>1869.9999999999998</v>
      </c>
      <c r="L16" s="84">
        <f>+'Prévisions mensuelles'!L120</f>
        <v>1869.9999999999998</v>
      </c>
      <c r="M16" s="84">
        <f>+'Prévisions mensuelles'!M120</f>
        <v>1869.9999999999998</v>
      </c>
      <c r="N16" s="84">
        <f>+'Prévisions mensuelles'!N120</f>
        <v>1869.9999999999998</v>
      </c>
      <c r="O16" s="84">
        <f>+'Prévisions mensuelles'!O120</f>
        <v>1869.9999999999998</v>
      </c>
      <c r="P16" s="85">
        <f>+'Prévisions mensuelles'!P120</f>
        <v>23540</v>
      </c>
      <c r="Q16" s="84">
        <f>+'Prévisions mensuelles'!Q120</f>
        <v>1869.9999999999998</v>
      </c>
      <c r="R16" s="84">
        <f>+'Prévisions mensuelles'!R120</f>
        <v>1970</v>
      </c>
      <c r="S16" s="84">
        <f>+'Prévisions mensuelles'!S120</f>
        <v>1970</v>
      </c>
      <c r="T16" s="84">
        <f>+'Prévisions mensuelles'!T120</f>
        <v>1970</v>
      </c>
      <c r="U16" s="84">
        <f>+'Prévisions mensuelles'!U120</f>
        <v>1970</v>
      </c>
      <c r="V16" s="84">
        <f>+'Prévisions mensuelles'!V120</f>
        <v>1970</v>
      </c>
      <c r="W16" s="84">
        <f>+'Prévisions mensuelles'!W120</f>
        <v>1970</v>
      </c>
      <c r="X16" s="84">
        <f>+'Prévisions mensuelles'!X120</f>
        <v>1970</v>
      </c>
      <c r="Y16" s="84">
        <f>+'Prévisions mensuelles'!Y120</f>
        <v>1970</v>
      </c>
      <c r="Z16" s="84">
        <f>+'Prévisions mensuelles'!Z120</f>
        <v>1970</v>
      </c>
      <c r="AA16" s="84">
        <f>+'Prévisions mensuelles'!AA120</f>
        <v>1970</v>
      </c>
      <c r="AB16" s="84">
        <f>+'Prévisions mensuelles'!AB120</f>
        <v>1970</v>
      </c>
      <c r="AC16" s="85">
        <f>+'Prévisions mensuelles'!AC120</f>
        <v>25840</v>
      </c>
      <c r="AD16" s="84">
        <f>+'Prévisions mensuelles'!AD120</f>
        <v>1970</v>
      </c>
      <c r="AE16" s="84">
        <f>+'Prévisions mensuelles'!AE120</f>
        <v>2170</v>
      </c>
      <c r="AF16" s="84">
        <f>+'Prévisions mensuelles'!AF120</f>
        <v>2170</v>
      </c>
      <c r="AG16" s="84">
        <f>+'Prévisions mensuelles'!AG120</f>
        <v>2170</v>
      </c>
      <c r="AH16" s="84">
        <f>+'Prévisions mensuelles'!AH120</f>
        <v>2170</v>
      </c>
      <c r="AI16" s="84">
        <f>+'Prévisions mensuelles'!AI120</f>
        <v>2170</v>
      </c>
      <c r="AJ16" s="84">
        <f>+'Prévisions mensuelles'!AJ120</f>
        <v>2170</v>
      </c>
      <c r="AK16" s="84">
        <f>+'Prévisions mensuelles'!AK120</f>
        <v>2170</v>
      </c>
      <c r="AL16" s="84">
        <f>+'Prévisions mensuelles'!AL120</f>
        <v>2170</v>
      </c>
      <c r="AM16" s="84">
        <f>+'Prévisions mensuelles'!AM120</f>
        <v>2170</v>
      </c>
      <c r="AN16" s="84">
        <f>+'Prévisions mensuelles'!AN120</f>
        <v>2170</v>
      </c>
      <c r="AO16" s="84">
        <f>+'Prévisions mensuelles'!AO120</f>
        <v>2170</v>
      </c>
    </row>
    <row r="17" spans="2:41" s="73" customFormat="1" ht="13.5" customHeight="1" x14ac:dyDescent="0.3">
      <c r="B17" s="84" t="s">
        <v>232</v>
      </c>
      <c r="C17" s="85">
        <f>+'Prévisions mensuelles'!C121</f>
        <v>600</v>
      </c>
      <c r="D17" s="84">
        <f>+'Prévisions mensuelles'!D121</f>
        <v>50</v>
      </c>
      <c r="E17" s="84">
        <f>+'Prévisions mensuelles'!E121</f>
        <v>50</v>
      </c>
      <c r="F17" s="84">
        <f>+'Prévisions mensuelles'!F121</f>
        <v>50</v>
      </c>
      <c r="G17" s="84">
        <f>+'Prévisions mensuelles'!G121</f>
        <v>50</v>
      </c>
      <c r="H17" s="84">
        <f>+'Prévisions mensuelles'!H121</f>
        <v>50</v>
      </c>
      <c r="I17" s="84">
        <f>+'Prévisions mensuelles'!I121</f>
        <v>50</v>
      </c>
      <c r="J17" s="84">
        <f>+'Prévisions mensuelles'!J121</f>
        <v>50</v>
      </c>
      <c r="K17" s="84">
        <f>+'Prévisions mensuelles'!K121</f>
        <v>50</v>
      </c>
      <c r="L17" s="84">
        <f>+'Prévisions mensuelles'!L121</f>
        <v>50</v>
      </c>
      <c r="M17" s="84">
        <f>+'Prévisions mensuelles'!M121</f>
        <v>50</v>
      </c>
      <c r="N17" s="84">
        <f>+'Prévisions mensuelles'!N121</f>
        <v>50</v>
      </c>
      <c r="O17" s="84">
        <f>+'Prévisions mensuelles'!O121</f>
        <v>50</v>
      </c>
      <c r="P17" s="85">
        <f>+'Prévisions mensuelles'!P121</f>
        <v>600</v>
      </c>
      <c r="Q17" s="84">
        <f>+'Prévisions mensuelles'!Q121</f>
        <v>50</v>
      </c>
      <c r="R17" s="84">
        <f>+'Prévisions mensuelles'!R121</f>
        <v>50</v>
      </c>
      <c r="S17" s="84">
        <f>+'Prévisions mensuelles'!S121</f>
        <v>50</v>
      </c>
      <c r="T17" s="84">
        <f>+'Prévisions mensuelles'!T121</f>
        <v>50</v>
      </c>
      <c r="U17" s="84">
        <f>+'Prévisions mensuelles'!U121</f>
        <v>50</v>
      </c>
      <c r="V17" s="84">
        <f>+'Prévisions mensuelles'!V121</f>
        <v>50</v>
      </c>
      <c r="W17" s="84">
        <f>+'Prévisions mensuelles'!W121</f>
        <v>50</v>
      </c>
      <c r="X17" s="84">
        <f>+'Prévisions mensuelles'!X121</f>
        <v>50</v>
      </c>
      <c r="Y17" s="84">
        <f>+'Prévisions mensuelles'!Y121</f>
        <v>50</v>
      </c>
      <c r="Z17" s="84">
        <f>+'Prévisions mensuelles'!Z121</f>
        <v>50</v>
      </c>
      <c r="AA17" s="84">
        <f>+'Prévisions mensuelles'!AA121</f>
        <v>50</v>
      </c>
      <c r="AB17" s="84">
        <f>+'Prévisions mensuelles'!AB121</f>
        <v>50</v>
      </c>
      <c r="AC17" s="85">
        <f>+'Prévisions mensuelles'!AC121</f>
        <v>600</v>
      </c>
      <c r="AD17" s="84">
        <f>+'Prévisions mensuelles'!AD121</f>
        <v>50</v>
      </c>
      <c r="AE17" s="84">
        <f>+'Prévisions mensuelles'!AE121</f>
        <v>50</v>
      </c>
      <c r="AF17" s="84">
        <f>+'Prévisions mensuelles'!AF121</f>
        <v>50</v>
      </c>
      <c r="AG17" s="84">
        <f>+'Prévisions mensuelles'!AG121</f>
        <v>50</v>
      </c>
      <c r="AH17" s="84">
        <f>+'Prévisions mensuelles'!AH121</f>
        <v>50</v>
      </c>
      <c r="AI17" s="84">
        <f>+'Prévisions mensuelles'!AI121</f>
        <v>50</v>
      </c>
      <c r="AJ17" s="84">
        <f>+'Prévisions mensuelles'!AJ121</f>
        <v>50</v>
      </c>
      <c r="AK17" s="84">
        <f>+'Prévisions mensuelles'!AK121</f>
        <v>50</v>
      </c>
      <c r="AL17" s="84">
        <f>+'Prévisions mensuelles'!AL121</f>
        <v>50</v>
      </c>
      <c r="AM17" s="84">
        <f>+'Prévisions mensuelles'!AM121</f>
        <v>50</v>
      </c>
      <c r="AN17" s="84">
        <f>+'Prévisions mensuelles'!AN121</f>
        <v>50</v>
      </c>
      <c r="AO17" s="84">
        <f>+'Prévisions mensuelles'!AO121</f>
        <v>50</v>
      </c>
    </row>
    <row r="18" spans="2:41" s="73" customFormat="1" ht="13.5" customHeight="1" x14ac:dyDescent="0.3">
      <c r="B18" s="84" t="s">
        <v>257</v>
      </c>
      <c r="C18" s="85">
        <f>+'Prévisions mensuelles'!C122</f>
        <v>48400.000000000007</v>
      </c>
      <c r="D18" s="84">
        <f>+'Prévisions mensuelles'!D122</f>
        <v>4033.3333333333335</v>
      </c>
      <c r="E18" s="84">
        <f>+'Prévisions mensuelles'!E122</f>
        <v>4033.3333333333335</v>
      </c>
      <c r="F18" s="84">
        <f>+'Prévisions mensuelles'!F122</f>
        <v>4033.3333333333335</v>
      </c>
      <c r="G18" s="84">
        <f>+'Prévisions mensuelles'!G122</f>
        <v>4033.3333333333335</v>
      </c>
      <c r="H18" s="84">
        <f>+'Prévisions mensuelles'!H122</f>
        <v>4033.3333333333335</v>
      </c>
      <c r="I18" s="84">
        <f>+'Prévisions mensuelles'!I122</f>
        <v>4033.3333333333335</v>
      </c>
      <c r="J18" s="84">
        <f>+'Prévisions mensuelles'!J122</f>
        <v>4033.3333333333335</v>
      </c>
      <c r="K18" s="84">
        <f>+'Prévisions mensuelles'!K122</f>
        <v>4033.3333333333335</v>
      </c>
      <c r="L18" s="84">
        <f>+'Prévisions mensuelles'!L122</f>
        <v>4033.3333333333335</v>
      </c>
      <c r="M18" s="84">
        <f>+'Prévisions mensuelles'!M122</f>
        <v>4033.3333333333335</v>
      </c>
      <c r="N18" s="84">
        <f>+'Prévisions mensuelles'!N122</f>
        <v>4033.3333333333335</v>
      </c>
      <c r="O18" s="84">
        <f>+'Prévisions mensuelles'!O122</f>
        <v>4033.3333333333335</v>
      </c>
      <c r="P18" s="85">
        <f>+'Prévisions mensuelles'!P122</f>
        <v>103032</v>
      </c>
      <c r="Q18" s="84">
        <f>+'Prévisions mensuelles'!Q122</f>
        <v>8586</v>
      </c>
      <c r="R18" s="84">
        <f>+'Prévisions mensuelles'!R122</f>
        <v>8586</v>
      </c>
      <c r="S18" s="84">
        <f>+'Prévisions mensuelles'!S122</f>
        <v>8586</v>
      </c>
      <c r="T18" s="84">
        <f>+'Prévisions mensuelles'!T122</f>
        <v>8586</v>
      </c>
      <c r="U18" s="84">
        <f>+'Prévisions mensuelles'!U122</f>
        <v>8586</v>
      </c>
      <c r="V18" s="84">
        <f>+'Prévisions mensuelles'!V122</f>
        <v>8586</v>
      </c>
      <c r="W18" s="84">
        <f>+'Prévisions mensuelles'!W122</f>
        <v>8586</v>
      </c>
      <c r="X18" s="84">
        <f>+'Prévisions mensuelles'!X122</f>
        <v>8586</v>
      </c>
      <c r="Y18" s="84">
        <f>+'Prévisions mensuelles'!Y122</f>
        <v>8586</v>
      </c>
      <c r="Z18" s="84">
        <f>+'Prévisions mensuelles'!Z122</f>
        <v>8586</v>
      </c>
      <c r="AA18" s="84">
        <f>+'Prévisions mensuelles'!AA122</f>
        <v>8586</v>
      </c>
      <c r="AB18" s="84">
        <f>+'Prévisions mensuelles'!AB122</f>
        <v>8586</v>
      </c>
      <c r="AC18" s="85">
        <f>+'Prévisions mensuelles'!AC122</f>
        <v>180152</v>
      </c>
      <c r="AD18" s="84">
        <f>+'Prévisions mensuelles'!AD122</f>
        <v>15012.666666666668</v>
      </c>
      <c r="AE18" s="84">
        <f>+'Prévisions mensuelles'!AE122</f>
        <v>15012.666666666668</v>
      </c>
      <c r="AF18" s="84">
        <f>+'Prévisions mensuelles'!AF122</f>
        <v>15012.666666666668</v>
      </c>
      <c r="AG18" s="84">
        <f>+'Prévisions mensuelles'!AG122</f>
        <v>15012.666666666668</v>
      </c>
      <c r="AH18" s="84">
        <f>+'Prévisions mensuelles'!AH122</f>
        <v>15012.666666666668</v>
      </c>
      <c r="AI18" s="84">
        <f>+'Prévisions mensuelles'!AI122</f>
        <v>15012.666666666668</v>
      </c>
      <c r="AJ18" s="84">
        <f>+'Prévisions mensuelles'!AJ122</f>
        <v>15012.666666666668</v>
      </c>
      <c r="AK18" s="84">
        <f>+'Prévisions mensuelles'!AK122</f>
        <v>15012.666666666668</v>
      </c>
      <c r="AL18" s="84">
        <f>+'Prévisions mensuelles'!AL122</f>
        <v>15012.666666666668</v>
      </c>
      <c r="AM18" s="84">
        <f>+'Prévisions mensuelles'!AM122</f>
        <v>15012.666666666668</v>
      </c>
      <c r="AN18" s="84">
        <f>+'Prévisions mensuelles'!AN122</f>
        <v>15012.666666666668</v>
      </c>
      <c r="AO18" s="84">
        <f>+'Prévisions mensuelles'!AO122</f>
        <v>15012.666666666668</v>
      </c>
    </row>
    <row r="19" spans="2:41" s="73" customFormat="1" ht="13.5" customHeight="1" x14ac:dyDescent="0.3">
      <c r="B19" s="84" t="s">
        <v>258</v>
      </c>
      <c r="C19" s="85">
        <f>+'Prévisions mensuelles'!C123</f>
        <v>27912.5</v>
      </c>
      <c r="D19" s="84">
        <f>+'Prévisions mensuelles'!D123</f>
        <v>0</v>
      </c>
      <c r="E19" s="84">
        <f>+'Prévisions mensuelles'!E123</f>
        <v>2537.5</v>
      </c>
      <c r="F19" s="84">
        <f>+'Prévisions mensuelles'!F123</f>
        <v>2537.5</v>
      </c>
      <c r="G19" s="84">
        <f>+'Prévisions mensuelles'!G123</f>
        <v>2537.5</v>
      </c>
      <c r="H19" s="84">
        <f>+'Prévisions mensuelles'!H123</f>
        <v>2537.5</v>
      </c>
      <c r="I19" s="84">
        <f>+'Prévisions mensuelles'!I123</f>
        <v>2537.5</v>
      </c>
      <c r="J19" s="84">
        <f>+'Prévisions mensuelles'!J123</f>
        <v>2537.5</v>
      </c>
      <c r="K19" s="84">
        <f>+'Prévisions mensuelles'!K123</f>
        <v>2537.5</v>
      </c>
      <c r="L19" s="84">
        <f>+'Prévisions mensuelles'!L123</f>
        <v>2537.5</v>
      </c>
      <c r="M19" s="84">
        <f>+'Prévisions mensuelles'!M123</f>
        <v>2537.5</v>
      </c>
      <c r="N19" s="84">
        <f>+'Prévisions mensuelles'!N123</f>
        <v>2537.5</v>
      </c>
      <c r="O19" s="84">
        <f>+'Prévisions mensuelles'!O123</f>
        <v>2537.5</v>
      </c>
      <c r="P19" s="85">
        <f>+'Prévisions mensuelles'!P123</f>
        <v>64748</v>
      </c>
      <c r="Q19" s="84">
        <f>+'Prévisions mensuelles'!Q123</f>
        <v>2537.5</v>
      </c>
      <c r="R19" s="84">
        <f>+'Prévisions mensuelles'!R123</f>
        <v>5655.5</v>
      </c>
      <c r="S19" s="84">
        <f>+'Prévisions mensuelles'!S123</f>
        <v>5655.5</v>
      </c>
      <c r="T19" s="84">
        <f>+'Prévisions mensuelles'!T123</f>
        <v>5655.5</v>
      </c>
      <c r="U19" s="84">
        <f>+'Prévisions mensuelles'!U123</f>
        <v>5655.5</v>
      </c>
      <c r="V19" s="84">
        <f>+'Prévisions mensuelles'!V123</f>
        <v>5655.5</v>
      </c>
      <c r="W19" s="84">
        <f>+'Prévisions mensuelles'!W123</f>
        <v>5655.5</v>
      </c>
      <c r="X19" s="84">
        <f>+'Prévisions mensuelles'!X123</f>
        <v>5655.5</v>
      </c>
      <c r="Y19" s="84">
        <f>+'Prévisions mensuelles'!Y123</f>
        <v>5655.5</v>
      </c>
      <c r="Z19" s="84">
        <f>+'Prévisions mensuelles'!Z123</f>
        <v>5655.5</v>
      </c>
      <c r="AA19" s="84">
        <f>+'Prévisions mensuelles'!AA123</f>
        <v>5655.5</v>
      </c>
      <c r="AB19" s="84">
        <f>+'Prévisions mensuelles'!AB123</f>
        <v>5655.5</v>
      </c>
      <c r="AC19" s="85">
        <f>+'Prévisions mensuelles'!AC123</f>
        <v>113983.5</v>
      </c>
      <c r="AD19" s="84">
        <f>+'Prévisions mensuelles'!AD123</f>
        <v>5655.5</v>
      </c>
      <c r="AE19" s="84">
        <f>+'Prévisions mensuelles'!AE123</f>
        <v>9848</v>
      </c>
      <c r="AF19" s="84">
        <f>+'Prévisions mensuelles'!AF123</f>
        <v>9848</v>
      </c>
      <c r="AG19" s="84">
        <f>+'Prévisions mensuelles'!AG123</f>
        <v>9848</v>
      </c>
      <c r="AH19" s="84">
        <f>+'Prévisions mensuelles'!AH123</f>
        <v>9848</v>
      </c>
      <c r="AI19" s="84">
        <f>+'Prévisions mensuelles'!AI123</f>
        <v>9848</v>
      </c>
      <c r="AJ19" s="84">
        <f>+'Prévisions mensuelles'!AJ123</f>
        <v>9848</v>
      </c>
      <c r="AK19" s="84">
        <f>+'Prévisions mensuelles'!AK123</f>
        <v>9848</v>
      </c>
      <c r="AL19" s="84">
        <f>+'Prévisions mensuelles'!AL123</f>
        <v>9848</v>
      </c>
      <c r="AM19" s="84">
        <f>+'Prévisions mensuelles'!AM123</f>
        <v>9848</v>
      </c>
      <c r="AN19" s="84">
        <f>+'Prévisions mensuelles'!AN123</f>
        <v>9848</v>
      </c>
      <c r="AO19" s="84">
        <f>+'Prévisions mensuelles'!AO123</f>
        <v>9848</v>
      </c>
    </row>
    <row r="20" spans="2:41" s="73" customFormat="1" ht="13.5" customHeight="1" x14ac:dyDescent="0.3">
      <c r="B20" s="84" t="s">
        <v>259</v>
      </c>
      <c r="C20" s="85">
        <f>+'Prévisions mensuelles'!C124</f>
        <v>740.67656641682925</v>
      </c>
      <c r="D20" s="84">
        <f>+'Prévisions mensuelles'!D124</f>
        <v>66.666666666666671</v>
      </c>
      <c r="E20" s="84">
        <f>+'Prévisions mensuelles'!E124</f>
        <v>65.777777777777771</v>
      </c>
      <c r="F20" s="84">
        <f>+'Prévisions mensuelles'!F124</f>
        <v>64.885925925925932</v>
      </c>
      <c r="G20" s="84">
        <f>+'Prévisions mensuelles'!G124</f>
        <v>63.991101234567907</v>
      </c>
      <c r="H20" s="84">
        <f>+'Prévisions mensuelles'!H124</f>
        <v>63.09329379423869</v>
      </c>
      <c r="I20" s="84">
        <f>+'Prévisions mensuelles'!I124</f>
        <v>62.192493662441706</v>
      </c>
      <c r="J20" s="84">
        <f>+'Prévisions mensuelles'!J124</f>
        <v>61.28869086353874</v>
      </c>
      <c r="K20" s="84">
        <f>+'Prévisions mensuelles'!K124</f>
        <v>60.381875388639422</v>
      </c>
      <c r="L20" s="84">
        <f>+'Prévisions mensuelles'!L124</f>
        <v>59.472037195490437</v>
      </c>
      <c r="M20" s="84">
        <f>+'Prévisions mensuelles'!M124</f>
        <v>58.559166208364296</v>
      </c>
      <c r="N20" s="84">
        <f>+'Prévisions mensuelles'!N124</f>
        <v>57.643252317947741</v>
      </c>
      <c r="O20" s="84">
        <f>+'Prévisions mensuelles'!O124</f>
        <v>56.724285381229784</v>
      </c>
      <c r="P20" s="85">
        <f>+'Prévisions mensuelles'!P124</f>
        <v>607.88670085802414</v>
      </c>
      <c r="Q20" s="84">
        <f>+'Prévisions mensuelles'!Q124</f>
        <v>55.802255221389437</v>
      </c>
      <c r="R20" s="84">
        <f>+'Prévisions mensuelles'!R124</f>
        <v>54.877151627682956</v>
      </c>
      <c r="S20" s="84">
        <f>+'Prévisions mensuelles'!S124</f>
        <v>53.948964355330787</v>
      </c>
      <c r="T20" s="84">
        <f>+'Prévisions mensuelles'!T124</f>
        <v>53.017683125404112</v>
      </c>
      <c r="U20" s="84">
        <f>+'Prévisions mensuelles'!U124</f>
        <v>52.083297624711015</v>
      </c>
      <c r="V20" s="84">
        <f>+'Prévisions mensuelles'!V124</f>
        <v>51.145797505682275</v>
      </c>
      <c r="W20" s="84">
        <f>+'Prévisions mensuelles'!W124</f>
        <v>50.20517238625677</v>
      </c>
      <c r="X20" s="84">
        <f>+'Prévisions mensuelles'!X124</f>
        <v>49.261411849766517</v>
      </c>
      <c r="Y20" s="84">
        <f>+'Prévisions mensuelles'!Y124</f>
        <v>48.314505444821293</v>
      </c>
      <c r="Z20" s="84">
        <f>+'Prévisions mensuelles'!Z124</f>
        <v>47.36444268519292</v>
      </c>
      <c r="AA20" s="84">
        <f>+'Prévisions mensuelles'!AA124</f>
        <v>46.411213049699114</v>
      </c>
      <c r="AB20" s="84">
        <f>+'Prévisions mensuelles'!AB124</f>
        <v>45.454805982087002</v>
      </c>
      <c r="AC20" s="85">
        <f>+'Prévisions mensuelles'!AC124</f>
        <v>469.68677129224216</v>
      </c>
      <c r="AD20" s="84">
        <f>+'Prévisions mensuelles'!AD124</f>
        <v>44.495210890916184</v>
      </c>
      <c r="AE20" s="84">
        <f>+'Prévisions mensuelles'!AE124</f>
        <v>43.532417149441457</v>
      </c>
      <c r="AF20" s="84">
        <f>+'Prévisions mensuelles'!AF124</f>
        <v>42.566414095495148</v>
      </c>
      <c r="AG20" s="84">
        <f>+'Prévisions mensuelles'!AG124</f>
        <v>41.597191031369022</v>
      </c>
      <c r="AH20" s="84">
        <f>+'Prévisions mensuelles'!AH124</f>
        <v>40.62473722369581</v>
      </c>
      <c r="AI20" s="84">
        <f>+'Prévisions mensuelles'!AI124</f>
        <v>39.64904190333035</v>
      </c>
      <c r="AJ20" s="84">
        <f>+'Prévisions mensuelles'!AJ124</f>
        <v>38.670094265230333</v>
      </c>
      <c r="AK20" s="84">
        <f>+'Prévisions mensuelles'!AK124</f>
        <v>37.687883468336658</v>
      </c>
      <c r="AL20" s="84">
        <f>+'Prévisions mensuelles'!AL124</f>
        <v>36.702398635453342</v>
      </c>
      <c r="AM20" s="84">
        <f>+'Prévisions mensuelles'!AM124</f>
        <v>35.713628853127076</v>
      </c>
      <c r="AN20" s="84">
        <f>+'Prévisions mensuelles'!AN124</f>
        <v>34.721563171526384</v>
      </c>
      <c r="AO20" s="84">
        <f>+'Prévisions mensuelles'!AO124</f>
        <v>33.726190604320358</v>
      </c>
    </row>
    <row r="21" spans="2:41" s="73" customFormat="1" ht="13.5" customHeight="1" x14ac:dyDescent="0.3">
      <c r="B21" s="86" t="s">
        <v>244</v>
      </c>
      <c r="C21" s="85">
        <f>+'Prévisions mensuelles'!C125</f>
        <v>0</v>
      </c>
      <c r="D21" s="84">
        <f>+'Prévisions mensuelles'!D125</f>
        <v>0</v>
      </c>
      <c r="E21" s="84">
        <f>+'Prévisions mensuelles'!E125</f>
        <v>0</v>
      </c>
      <c r="F21" s="84">
        <f>+'Prévisions mensuelles'!F125</f>
        <v>0</v>
      </c>
      <c r="G21" s="84">
        <f>+'Prévisions mensuelles'!G125</f>
        <v>0</v>
      </c>
      <c r="H21" s="84">
        <f>+'Prévisions mensuelles'!H125</f>
        <v>0</v>
      </c>
      <c r="I21" s="84">
        <f>+'Prévisions mensuelles'!I125</f>
        <v>0</v>
      </c>
      <c r="J21" s="84">
        <f>+'Prévisions mensuelles'!J125</f>
        <v>0</v>
      </c>
      <c r="K21" s="84">
        <f>+'Prévisions mensuelles'!K125</f>
        <v>0</v>
      </c>
      <c r="L21" s="84">
        <f>+'Prévisions mensuelles'!L125</f>
        <v>0</v>
      </c>
      <c r="M21" s="84">
        <f>+'Prévisions mensuelles'!M125</f>
        <v>0</v>
      </c>
      <c r="N21" s="84">
        <f>+'Prévisions mensuelles'!N125</f>
        <v>0</v>
      </c>
      <c r="O21" s="84">
        <f>+'Prévisions mensuelles'!O125</f>
        <v>0</v>
      </c>
      <c r="P21" s="85">
        <f>+'Prévisions mensuelles'!P125</f>
        <v>3682.7970300749521</v>
      </c>
      <c r="Q21" s="84">
        <f>+'Prévisions mensuelles'!Q125</f>
        <v>0</v>
      </c>
      <c r="R21" s="84">
        <f>+'Prévisions mensuelles'!R125</f>
        <v>0</v>
      </c>
      <c r="S21" s="84">
        <f>+'Prévisions mensuelles'!S125</f>
        <v>0</v>
      </c>
      <c r="T21" s="84">
        <f>+'Prévisions mensuelles'!T125</f>
        <v>0</v>
      </c>
      <c r="U21" s="84">
        <f>+'Prévisions mensuelles'!U125</f>
        <v>1841.3985150374763</v>
      </c>
      <c r="V21" s="84">
        <f>+'Prévisions mensuelles'!V125</f>
        <v>920.69925751873814</v>
      </c>
      <c r="W21" s="84">
        <f>+'Prévisions mensuelles'!W125</f>
        <v>0</v>
      </c>
      <c r="X21" s="84">
        <f>+'Prévisions mensuelles'!X125</f>
        <v>0</v>
      </c>
      <c r="Y21" s="84">
        <f>+'Prévisions mensuelles'!Y125</f>
        <v>460.34962875936907</v>
      </c>
      <c r="Z21" s="84">
        <f>+'Prévisions mensuelles'!Z125</f>
        <v>0</v>
      </c>
      <c r="AA21" s="84">
        <f>+'Prévisions mensuelles'!AA125</f>
        <v>0</v>
      </c>
      <c r="AB21" s="84">
        <f>+'Prévisions mensuelles'!AB125</f>
        <v>460.34962875936907</v>
      </c>
      <c r="AC21" s="85">
        <f>+'Prévisions mensuelles'!AC125</f>
        <v>17422.324801200179</v>
      </c>
      <c r="AD21" s="84">
        <f>+'Prévisions mensuelles'!AD125</f>
        <v>0</v>
      </c>
      <c r="AE21" s="84">
        <f>+'Prévisions mensuelles'!AE125</f>
        <v>0</v>
      </c>
      <c r="AF21" s="84">
        <f>+'Prévisions mensuelles'!AF125</f>
        <v>2407.9654145297072</v>
      </c>
      <c r="AG21" s="84">
        <f>+'Prévisions mensuelles'!AG125</f>
        <v>0</v>
      </c>
      <c r="AH21" s="84">
        <f>+'Prévisions mensuelles'!AH125</f>
        <v>7790.4631430813524</v>
      </c>
      <c r="AI21" s="84">
        <f>+'Prévisions mensuelles'!AI125</f>
        <v>2407.9654145297072</v>
      </c>
      <c r="AJ21" s="84">
        <f>+'Prévisions mensuelles'!AJ125</f>
        <v>0</v>
      </c>
      <c r="AK21" s="84">
        <f>+'Prévisions mensuelles'!AK125</f>
        <v>0</v>
      </c>
      <c r="AL21" s="84">
        <f>+'Prévisions mensuelles'!AL125</f>
        <v>2407.9654145297072</v>
      </c>
      <c r="AM21" s="84">
        <f>+'Prévisions mensuelles'!AM125</f>
        <v>0</v>
      </c>
      <c r="AN21" s="84">
        <f>+'Prévisions mensuelles'!AN125</f>
        <v>0</v>
      </c>
      <c r="AO21" s="84">
        <f>+'Prévisions mensuelles'!AO125</f>
        <v>2407.9654145297072</v>
      </c>
    </row>
    <row r="22" spans="2:41" s="73" customFormat="1" ht="13.5" customHeight="1" x14ac:dyDescent="0.3">
      <c r="B22" s="84" t="s">
        <v>260</v>
      </c>
      <c r="C22" s="85">
        <f>+'Prévisions mensuelles'!C126</f>
        <v>14396.666666666668</v>
      </c>
      <c r="D22" s="84">
        <f>+'Prévisions mensuelles'!D126</f>
        <v>0</v>
      </c>
      <c r="E22" s="84">
        <f>+'Prévisions mensuelles'!E126</f>
        <v>0</v>
      </c>
      <c r="F22" s="84">
        <f>+'Prévisions mensuelles'!F126</f>
        <v>1076.666666666667</v>
      </c>
      <c r="G22" s="84">
        <f>+'Prévisions mensuelles'!G126</f>
        <v>1480.0000000000002</v>
      </c>
      <c r="H22" s="84">
        <f>+'Prévisions mensuelles'!H126</f>
        <v>1480.0000000000002</v>
      </c>
      <c r="I22" s="84">
        <f>+'Prévisions mensuelles'!I126</f>
        <v>1480.0000000000002</v>
      </c>
      <c r="J22" s="84">
        <f>+'Prévisions mensuelles'!J126</f>
        <v>1480.0000000000002</v>
      </c>
      <c r="K22" s="84">
        <f>+'Prévisions mensuelles'!K126</f>
        <v>1480.0000000000002</v>
      </c>
      <c r="L22" s="84">
        <f>+'Prévisions mensuelles'!L126</f>
        <v>1480.0000000000002</v>
      </c>
      <c r="M22" s="84">
        <f>+'Prévisions mensuelles'!M126</f>
        <v>1480.0000000000002</v>
      </c>
      <c r="N22" s="84">
        <f>+'Prévisions mensuelles'!N126</f>
        <v>1480.0000000000002</v>
      </c>
      <c r="O22" s="84">
        <f>+'Prévisions mensuelles'!O126</f>
        <v>1480.0000000000002</v>
      </c>
      <c r="P22" s="85">
        <f>+'Prévisions mensuelles'!P126</f>
        <v>40718.333333333328</v>
      </c>
      <c r="Q22" s="84">
        <f>+'Prévisions mensuelles'!Q126</f>
        <v>1480.0000000000002</v>
      </c>
      <c r="R22" s="84">
        <f>+'Prévisions mensuelles'!R126</f>
        <v>1521.666666666667</v>
      </c>
      <c r="S22" s="84">
        <f>+'Prévisions mensuelles'!S126</f>
        <v>3771.6666666666665</v>
      </c>
      <c r="T22" s="84">
        <f>+'Prévisions mensuelles'!T126</f>
        <v>3771.6666666666665</v>
      </c>
      <c r="U22" s="84">
        <f>+'Prévisions mensuelles'!U126</f>
        <v>3771.6666666666665</v>
      </c>
      <c r="V22" s="84">
        <f>+'Prévisions mensuelles'!V126</f>
        <v>3771.6666666666665</v>
      </c>
      <c r="W22" s="84">
        <f>+'Prévisions mensuelles'!W126</f>
        <v>3771.6666666666665</v>
      </c>
      <c r="X22" s="84">
        <f>+'Prévisions mensuelles'!X126</f>
        <v>3771.6666666666665</v>
      </c>
      <c r="Y22" s="84">
        <f>+'Prévisions mensuelles'!Y126</f>
        <v>3771.6666666666665</v>
      </c>
      <c r="Z22" s="84">
        <f>+'Prévisions mensuelles'!Z126</f>
        <v>3771.6666666666665</v>
      </c>
      <c r="AA22" s="84">
        <f>+'Prévisions mensuelles'!AA126</f>
        <v>3771.6666666666665</v>
      </c>
      <c r="AB22" s="84">
        <f>+'Prévisions mensuelles'!AB126</f>
        <v>3771.6666666666665</v>
      </c>
      <c r="AC22" s="85">
        <f>+'Prévisions mensuelles'!AC126</f>
        <v>72968.333333333328</v>
      </c>
      <c r="AD22" s="84">
        <f>+'Prévisions mensuelles'!AD126</f>
        <v>3771.6666666666665</v>
      </c>
      <c r="AE22" s="84">
        <f>+'Prévisions mensuelles'!AE126</f>
        <v>3730</v>
      </c>
      <c r="AF22" s="84">
        <f>+'Prévisions mensuelles'!AF126</f>
        <v>6546.6666666666661</v>
      </c>
      <c r="AG22" s="84">
        <f>+'Prévisions mensuelles'!AG126</f>
        <v>6546.6666666666661</v>
      </c>
      <c r="AH22" s="84">
        <f>+'Prévisions mensuelles'!AH126</f>
        <v>6546.6666666666661</v>
      </c>
      <c r="AI22" s="84">
        <f>+'Prévisions mensuelles'!AI126</f>
        <v>6546.6666666666661</v>
      </c>
      <c r="AJ22" s="84">
        <f>+'Prévisions mensuelles'!AJ126</f>
        <v>6546.6666666666661</v>
      </c>
      <c r="AK22" s="84">
        <f>+'Prévisions mensuelles'!AK126</f>
        <v>6546.6666666666661</v>
      </c>
      <c r="AL22" s="84">
        <f>+'Prévisions mensuelles'!AL126</f>
        <v>6546.6666666666661</v>
      </c>
      <c r="AM22" s="84">
        <f>+'Prévisions mensuelles'!AM126</f>
        <v>6546.6666666666661</v>
      </c>
      <c r="AN22" s="84">
        <f>+'Prévisions mensuelles'!AN126</f>
        <v>6546.6666666666661</v>
      </c>
      <c r="AO22" s="84">
        <f>+'Prévisions mensuelles'!AO126</f>
        <v>6546.6666666666661</v>
      </c>
    </row>
    <row r="23" spans="2:41" s="73" customFormat="1" ht="13.5" customHeight="1" x14ac:dyDescent="0.3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</row>
    <row r="24" spans="2:41" s="39" customFormat="1" ht="13.5" customHeight="1" x14ac:dyDescent="0.3">
      <c r="B24" s="81" t="s">
        <v>224</v>
      </c>
      <c r="C24" s="81">
        <f>+'Prévisions mensuelles'!C128</f>
        <v>31630.156766916509</v>
      </c>
      <c r="D24" s="81">
        <f>+'Prévisions mensuelles'!D128</f>
        <v>25516.666666666664</v>
      </c>
      <c r="E24" s="81">
        <f>+'Prévisions mensuelles'!E128</f>
        <v>1860.0555555555584</v>
      </c>
      <c r="F24" s="81">
        <f>+'Prévisions mensuelles'!F128</f>
        <v>784.28074074074357</v>
      </c>
      <c r="G24" s="81">
        <f>+'Prévisions mensuelles'!G128</f>
        <v>381.84223209876836</v>
      </c>
      <c r="H24" s="81">
        <f>+'Prévisions mensuelles'!H128</f>
        <v>382.74003953909778</v>
      </c>
      <c r="I24" s="81">
        <f>+'Prévisions mensuelles'!I128</f>
        <v>383.64083967089391</v>
      </c>
      <c r="J24" s="81">
        <f>+'Prévisions mensuelles'!J128</f>
        <v>384.5446424697966</v>
      </c>
      <c r="K24" s="81">
        <f>+'Prévisions mensuelles'!K128</f>
        <v>385.45145794469681</v>
      </c>
      <c r="L24" s="81">
        <f>+'Prévisions mensuelles'!L128</f>
        <v>386.36129613784578</v>
      </c>
      <c r="M24" s="81">
        <f>+'Prévisions mensuelles'!M128</f>
        <v>387.27416712497143</v>
      </c>
      <c r="N24" s="81">
        <f>+'Prévisions mensuelles'!N128</f>
        <v>388.19008101538748</v>
      </c>
      <c r="O24" s="81">
        <f>+'Prévisions mensuelles'!O128</f>
        <v>389.10904795210627</v>
      </c>
      <c r="P24" s="81">
        <f>+'Prévisions mensuelles'!P128</f>
        <v>40420.982935733715</v>
      </c>
      <c r="Q24" s="81">
        <f>+'Prévisions mensuelles'!Q128</f>
        <v>-4162.63558855472</v>
      </c>
      <c r="R24" s="81">
        <f>+'Prévisions mensuelles'!R128</f>
        <v>6428.6228483723171</v>
      </c>
      <c r="S24" s="81">
        <f>+'Prévisions mensuelles'!S128</f>
        <v>4179.5510356446684</v>
      </c>
      <c r="T24" s="81">
        <f>+'Prévisions mensuelles'!T128</f>
        <v>4180.482316874597</v>
      </c>
      <c r="U24" s="81">
        <f>+'Prévisions mensuelles'!U128</f>
        <v>2340.0181873378133</v>
      </c>
      <c r="V24" s="81">
        <f>+'Prévisions mensuelles'!V128</f>
        <v>3261.6549449755767</v>
      </c>
      <c r="W24" s="81">
        <f>+'Prévisions mensuelles'!W128</f>
        <v>4183.2948276137431</v>
      </c>
      <c r="X24" s="81">
        <f>+'Prévisions mensuelles'!X128</f>
        <v>4184.2385881502341</v>
      </c>
      <c r="Y24" s="81">
        <f>+'Prévisions mensuelles'!Y128</f>
        <v>3724.8358657958088</v>
      </c>
      <c r="Z24" s="81">
        <f>+'Prévisions mensuelles'!Z128</f>
        <v>4186.1355573148066</v>
      </c>
      <c r="AA24" s="81">
        <f>+'Prévisions mensuelles'!AA128</f>
        <v>4187.0887869503022</v>
      </c>
      <c r="AB24" s="81">
        <f>+'Prévisions mensuelles'!AB128</f>
        <v>3727.695565258542</v>
      </c>
      <c r="AC24" s="81">
        <f>+'Prévisions mensuelles'!AC128</f>
        <v>65114.155094174319</v>
      </c>
      <c r="AD24" s="81">
        <f>+'Prévisions mensuelles'!AD128</f>
        <v>-2237.6618775575844</v>
      </c>
      <c r="AE24" s="81">
        <f>+'Prévisions mensuelles'!AE128</f>
        <v>10262.467582850557</v>
      </c>
      <c r="AF24" s="81">
        <f>+'Prévisions mensuelles'!AF128</f>
        <v>5038.8015047081353</v>
      </c>
      <c r="AG24" s="81">
        <f>+'Prévisions mensuelles'!AG128</f>
        <v>7447.7361423019684</v>
      </c>
      <c r="AH24" s="81">
        <f>+'Prévisions mensuelles'!AH128</f>
        <v>-341.75454697171517</v>
      </c>
      <c r="AI24" s="81">
        <f>+'Prévisions mensuelles'!AI128</f>
        <v>5041.7188769002969</v>
      </c>
      <c r="AJ24" s="81">
        <f>+'Prévisions mensuelles'!AJ128</f>
        <v>7450.6632390681043</v>
      </c>
      <c r="AK24" s="81">
        <f>+'Prévisions mensuelles'!AK128</f>
        <v>7451.6454498649982</v>
      </c>
      <c r="AL24" s="81">
        <f>+'Prévisions mensuelles'!AL128</f>
        <v>5044.6655201681715</v>
      </c>
      <c r="AM24" s="81">
        <f>+'Prévisions mensuelles'!AM128</f>
        <v>7453.6197044802102</v>
      </c>
      <c r="AN24" s="81">
        <f>+'Prévisions mensuelles'!AN128</f>
        <v>7454.6117701618059</v>
      </c>
      <c r="AO24" s="81">
        <f>+'Prévisions mensuelles'!AO128</f>
        <v>5047.6417281993054</v>
      </c>
    </row>
    <row r="25" spans="2:41" s="73" customFormat="1" ht="13.5" customHeight="1" x14ac:dyDescent="0.3">
      <c r="B25" s="80" t="s">
        <v>261</v>
      </c>
      <c r="C25" s="80">
        <f>+'Prévisions mensuelles'!C129</f>
        <v>31630.15676691652</v>
      </c>
      <c r="D25" s="80">
        <f>+'Prévisions mensuelles'!D129</f>
        <v>25516.666666666664</v>
      </c>
      <c r="E25" s="80">
        <f>+'Prévisions mensuelles'!E129</f>
        <v>27376.722222222219</v>
      </c>
      <c r="F25" s="80">
        <f>+'Prévisions mensuelles'!F129</f>
        <v>28161.002962962961</v>
      </c>
      <c r="G25" s="80">
        <f>+'Prévisions mensuelles'!G129</f>
        <v>28542.845195061731</v>
      </c>
      <c r="H25" s="80">
        <f>+'Prévisions mensuelles'!H129</f>
        <v>28925.585234600825</v>
      </c>
      <c r="I25" s="80">
        <f>+'Prévisions mensuelles'!I129</f>
        <v>29309.226074271719</v>
      </c>
      <c r="J25" s="80">
        <f>+'Prévisions mensuelles'!J129</f>
        <v>29693.770716741514</v>
      </c>
      <c r="K25" s="80">
        <f>+'Prévisions mensuelles'!K129</f>
        <v>30079.222174686209</v>
      </c>
      <c r="L25" s="80">
        <f>+'Prévisions mensuelles'!L129</f>
        <v>30465.583470824058</v>
      </c>
      <c r="M25" s="80">
        <f>+'Prévisions mensuelles'!M129</f>
        <v>30852.857637949026</v>
      </c>
      <c r="N25" s="80">
        <f>+'Prévisions mensuelles'!N129</f>
        <v>31241.047718964412</v>
      </c>
      <c r="O25" s="80">
        <f>+'Prévisions mensuelles'!O129</f>
        <v>31630.15676691652</v>
      </c>
      <c r="P25" s="80">
        <f>+'Prévisions mensuelles'!P129</f>
        <v>72051.139702650224</v>
      </c>
      <c r="Q25" s="80">
        <f>+'Prévisions mensuelles'!Q129</f>
        <v>27467.5211783618</v>
      </c>
      <c r="R25" s="80">
        <f>+'Prévisions mensuelles'!R129</f>
        <v>33896.144026734117</v>
      </c>
      <c r="S25" s="80">
        <f>+'Prévisions mensuelles'!S129</f>
        <v>38075.695062378785</v>
      </c>
      <c r="T25" s="80">
        <f>+'Prévisions mensuelles'!T129</f>
        <v>42256.177379253379</v>
      </c>
      <c r="U25" s="80">
        <f>+'Prévisions mensuelles'!U129</f>
        <v>44596.195566591196</v>
      </c>
      <c r="V25" s="80">
        <f>+'Prévisions mensuelles'!V129</f>
        <v>47857.850511566772</v>
      </c>
      <c r="W25" s="80">
        <f>+'Prévisions mensuelles'!W129</f>
        <v>52041.145339180512</v>
      </c>
      <c r="X25" s="80">
        <f>+'Prévisions mensuelles'!X129</f>
        <v>56225.383927330746</v>
      </c>
      <c r="Y25" s="80">
        <f>+'Prévisions mensuelles'!Y129</f>
        <v>59950.219793126562</v>
      </c>
      <c r="Z25" s="80">
        <f>+'Prévisions mensuelles'!Z129</f>
        <v>64136.355350441372</v>
      </c>
      <c r="AA25" s="80">
        <f>+'Prévisions mensuelles'!AA129</f>
        <v>68323.444137391678</v>
      </c>
      <c r="AB25" s="80">
        <f>+'Prévisions mensuelles'!AB129</f>
        <v>72051.139702650224</v>
      </c>
      <c r="AC25" s="80">
        <f>+'Prévisions mensuelles'!AC129</f>
        <v>137165.29479682446</v>
      </c>
      <c r="AD25" s="80">
        <f>+'Prévisions mensuelles'!AD129</f>
        <v>69813.477825092647</v>
      </c>
      <c r="AE25" s="80">
        <f>+'Prévisions mensuelles'!AE129</f>
        <v>80075.945407943203</v>
      </c>
      <c r="AF25" s="80">
        <f>+'Prévisions mensuelles'!AF129</f>
        <v>85114.746912651346</v>
      </c>
      <c r="AG25" s="80">
        <f>+'Prévisions mensuelles'!AG129</f>
        <v>92562.483054953307</v>
      </c>
      <c r="AH25" s="80">
        <f>+'Prévisions mensuelles'!AH129</f>
        <v>92220.728507981592</v>
      </c>
      <c r="AI25" s="80">
        <f>+'Prévisions mensuelles'!AI129</f>
        <v>97262.447384881874</v>
      </c>
      <c r="AJ25" s="80">
        <f>+'Prévisions mensuelles'!AJ129</f>
        <v>104713.11062394998</v>
      </c>
      <c r="AK25" s="80">
        <f>+'Prévisions mensuelles'!AK129</f>
        <v>112164.75607381496</v>
      </c>
      <c r="AL25" s="80">
        <f>+'Prévisions mensuelles'!AL129</f>
        <v>117209.42159398313</v>
      </c>
      <c r="AM25" s="80">
        <f>+'Prévisions mensuelles'!AM129</f>
        <v>124663.04129846334</v>
      </c>
      <c r="AN25" s="80">
        <f>+'Prévisions mensuelles'!AN129</f>
        <v>132117.65306862516</v>
      </c>
      <c r="AO25" s="80">
        <f>+'Prévisions mensuelles'!AO129</f>
        <v>137165.29479682446</v>
      </c>
    </row>
  </sheetData>
  <sheetProtection algorithmName="SHA-512" hashValue="YDnrw8KwXCQ2CyZw8SXzYdrG+kLoHd6JpQgH8V1k9btlWCcJEfeQ4K1ptJPX08/j4ZcYU9ZfvK0DG62U54gthA==" saltValue="et83MfJCPnhzN+7wZ9Kbng==" spinCount="100000"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O200"/>
  <sheetViews>
    <sheetView showGridLines="0" zoomScale="89" zoomScaleNormal="89" workbookViewId="0">
      <pane xSplit="3" ySplit="3" topLeftCell="D4" activePane="bottomRight" state="frozen"/>
      <selection activeCell="AJ8" sqref="AJ8"/>
      <selection pane="topRight" activeCell="AJ8" sqref="AJ8"/>
      <selection pane="bottomLeft" activeCell="AJ8" sqref="AJ8"/>
      <selection pane="bottomRight" activeCell="L45" sqref="L45"/>
    </sheetView>
  </sheetViews>
  <sheetFormatPr baseColWidth="10" defaultColWidth="10.88671875" defaultRowHeight="13.8" x14ac:dyDescent="0.3"/>
  <cols>
    <col min="1" max="1" width="3.6640625" style="39" customWidth="1"/>
    <col min="2" max="2" width="35.109375" style="39" customWidth="1"/>
    <col min="3" max="3" width="15.44140625" style="77" customWidth="1"/>
    <col min="4" max="4" width="15" style="39" customWidth="1"/>
    <col min="5" max="5" width="9.21875" style="39" customWidth="1"/>
    <col min="6" max="15" width="9.21875" style="2" customWidth="1"/>
    <col min="16" max="16" width="13" style="77" customWidth="1"/>
    <col min="17" max="17" width="10.44140625" style="39" customWidth="1"/>
    <col min="18" max="28" width="9.88671875" style="39" customWidth="1"/>
    <col min="29" max="29" width="14.5546875" style="77" customWidth="1"/>
    <col min="30" max="30" width="11.6640625" style="39" customWidth="1"/>
    <col min="31" max="41" width="10.5546875" style="39" customWidth="1"/>
    <col min="42" max="42" width="7.44140625" style="39" customWidth="1"/>
    <col min="43" max="43" width="7.109375" style="39" customWidth="1"/>
    <col min="44" max="44" width="4" style="39" customWidth="1"/>
    <col min="45" max="46" width="5" style="39" customWidth="1"/>
    <col min="47" max="47" width="4.6640625" style="39" customWidth="1"/>
    <col min="48" max="54" width="5" style="39" customWidth="1"/>
    <col min="55" max="55" width="4.5546875" style="39" customWidth="1"/>
    <col min="56" max="58" width="5" style="39" customWidth="1"/>
    <col min="59" max="65" width="5.88671875" style="39" customWidth="1"/>
    <col min="66" max="66" width="3.33203125" style="39" customWidth="1"/>
    <col min="67" max="93" width="3.44140625" style="39" customWidth="1"/>
    <col min="94" max="98" width="2.109375" style="39" customWidth="1"/>
    <col min="99" max="99" width="8.109375" style="39" customWidth="1"/>
    <col min="100" max="100" width="10.88671875" style="39" customWidth="1"/>
    <col min="101" max="16384" width="10.88671875" style="39"/>
  </cols>
  <sheetData>
    <row r="1" spans="2:41" ht="13.5" customHeight="1" x14ac:dyDescent="0.3">
      <c r="D1" s="89">
        <f t="shared" ref="D1:O1" si="0">EOMONTH(D3,0)</f>
        <v>46053</v>
      </c>
      <c r="E1" s="89">
        <f t="shared" si="0"/>
        <v>46081</v>
      </c>
      <c r="F1" s="89">
        <f t="shared" si="0"/>
        <v>46112</v>
      </c>
      <c r="G1" s="89">
        <f t="shared" si="0"/>
        <v>46142</v>
      </c>
      <c r="H1" s="89">
        <f t="shared" si="0"/>
        <v>46173</v>
      </c>
      <c r="I1" s="89">
        <f t="shared" si="0"/>
        <v>46203</v>
      </c>
      <c r="J1" s="89">
        <f t="shared" si="0"/>
        <v>46234</v>
      </c>
      <c r="K1" s="89">
        <f t="shared" si="0"/>
        <v>46265</v>
      </c>
      <c r="L1" s="89">
        <f t="shared" si="0"/>
        <v>46295</v>
      </c>
      <c r="M1" s="89">
        <f t="shared" si="0"/>
        <v>46326</v>
      </c>
      <c r="N1" s="89">
        <f t="shared" si="0"/>
        <v>46356</v>
      </c>
      <c r="O1" s="89">
        <f t="shared" si="0"/>
        <v>46387</v>
      </c>
      <c r="P1" s="89"/>
      <c r="Q1" s="89">
        <f t="shared" ref="Q1:AB1" si="1">EOMONTH(Q3,0)</f>
        <v>46418</v>
      </c>
      <c r="R1" s="89">
        <f t="shared" si="1"/>
        <v>46446</v>
      </c>
      <c r="S1" s="89">
        <f t="shared" si="1"/>
        <v>46477</v>
      </c>
      <c r="T1" s="89">
        <f t="shared" si="1"/>
        <v>46507</v>
      </c>
      <c r="U1" s="89">
        <f t="shared" si="1"/>
        <v>46538</v>
      </c>
      <c r="V1" s="89">
        <f t="shared" si="1"/>
        <v>46568</v>
      </c>
      <c r="W1" s="89">
        <f t="shared" si="1"/>
        <v>46599</v>
      </c>
      <c r="X1" s="89">
        <f t="shared" si="1"/>
        <v>46630</v>
      </c>
      <c r="Y1" s="89">
        <f t="shared" si="1"/>
        <v>46660</v>
      </c>
      <c r="Z1" s="89">
        <f t="shared" si="1"/>
        <v>46691</v>
      </c>
      <c r="AA1" s="89">
        <f t="shared" si="1"/>
        <v>46721</v>
      </c>
      <c r="AB1" s="89">
        <f t="shared" si="1"/>
        <v>46752</v>
      </c>
      <c r="AC1" s="89"/>
      <c r="AD1" s="89">
        <f t="shared" ref="AD1:AO1" si="2">EOMONTH(AD3,0)</f>
        <v>46783</v>
      </c>
      <c r="AE1" s="89">
        <f t="shared" si="2"/>
        <v>46812</v>
      </c>
      <c r="AF1" s="89">
        <f t="shared" si="2"/>
        <v>46843</v>
      </c>
      <c r="AG1" s="89">
        <f t="shared" si="2"/>
        <v>46873</v>
      </c>
      <c r="AH1" s="89">
        <f t="shared" si="2"/>
        <v>46904</v>
      </c>
      <c r="AI1" s="89">
        <f t="shared" si="2"/>
        <v>46934</v>
      </c>
      <c r="AJ1" s="89">
        <f t="shared" si="2"/>
        <v>46965</v>
      </c>
      <c r="AK1" s="89">
        <f t="shared" si="2"/>
        <v>46996</v>
      </c>
      <c r="AL1" s="89">
        <f t="shared" si="2"/>
        <v>47026</v>
      </c>
      <c r="AM1" s="89">
        <f t="shared" si="2"/>
        <v>47057</v>
      </c>
      <c r="AN1" s="89">
        <f t="shared" si="2"/>
        <v>47087</v>
      </c>
      <c r="AO1" s="89">
        <f t="shared" si="2"/>
        <v>47118</v>
      </c>
    </row>
    <row r="2" spans="2:41" s="73" customFormat="1" ht="13.5" customHeight="1" x14ac:dyDescent="0.3">
      <c r="B2" s="74" t="s">
        <v>262</v>
      </c>
      <c r="C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AC2" s="77"/>
    </row>
    <row r="3" spans="2:41" s="78" customFormat="1" ht="13.5" customHeight="1" x14ac:dyDescent="0.3">
      <c r="C3" s="77"/>
      <c r="D3" s="79">
        <v>46053</v>
      </c>
      <c r="E3" s="79">
        <v>46081</v>
      </c>
      <c r="F3" s="79">
        <v>46112</v>
      </c>
      <c r="G3" s="79">
        <v>46142</v>
      </c>
      <c r="H3" s="79">
        <v>46173</v>
      </c>
      <c r="I3" s="79">
        <v>46203</v>
      </c>
      <c r="J3" s="79">
        <v>46234</v>
      </c>
      <c r="K3" s="79">
        <v>46265</v>
      </c>
      <c r="L3" s="79">
        <v>46295</v>
      </c>
      <c r="M3" s="79">
        <v>46326</v>
      </c>
      <c r="N3" s="79">
        <v>46356</v>
      </c>
      <c r="O3" s="79">
        <v>46387</v>
      </c>
      <c r="P3" s="77"/>
      <c r="Q3" s="79">
        <v>46418</v>
      </c>
      <c r="R3" s="79">
        <v>46446</v>
      </c>
      <c r="S3" s="79">
        <v>46477</v>
      </c>
      <c r="T3" s="79">
        <v>46507</v>
      </c>
      <c r="U3" s="79">
        <v>46538</v>
      </c>
      <c r="V3" s="79">
        <v>46568</v>
      </c>
      <c r="W3" s="79">
        <v>46599</v>
      </c>
      <c r="X3" s="79">
        <v>46630</v>
      </c>
      <c r="Y3" s="79">
        <v>46660</v>
      </c>
      <c r="Z3" s="79">
        <v>46691</v>
      </c>
      <c r="AA3" s="79">
        <v>46721</v>
      </c>
      <c r="AB3" s="79">
        <v>46752</v>
      </c>
      <c r="AC3" s="77"/>
      <c r="AD3" s="79">
        <v>46783</v>
      </c>
      <c r="AE3" s="79">
        <v>46811</v>
      </c>
      <c r="AF3" s="152">
        <v>46843</v>
      </c>
      <c r="AG3" s="152">
        <v>46873</v>
      </c>
      <c r="AH3" s="152">
        <v>46904</v>
      </c>
      <c r="AI3" s="152">
        <v>46934</v>
      </c>
      <c r="AJ3" s="152">
        <v>46965</v>
      </c>
      <c r="AK3" s="152">
        <v>46996</v>
      </c>
      <c r="AL3" s="152">
        <v>47026</v>
      </c>
      <c r="AM3" s="152">
        <v>47057</v>
      </c>
      <c r="AN3" s="152">
        <v>47087</v>
      </c>
      <c r="AO3" s="152">
        <v>47118</v>
      </c>
    </row>
    <row r="4" spans="2:41" s="73" customFormat="1" ht="13.5" customHeight="1" x14ac:dyDescent="0.3">
      <c r="C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AC4" s="77"/>
    </row>
    <row r="5" spans="2:41" s="73" customFormat="1" ht="13.5" customHeight="1" x14ac:dyDescent="0.3">
      <c r="B5" s="90" t="s">
        <v>263</v>
      </c>
      <c r="C5" s="77"/>
      <c r="F5" s="77"/>
      <c r="G5" s="77"/>
      <c r="H5" s="77"/>
      <c r="I5" s="77"/>
      <c r="J5" s="77"/>
      <c r="K5" s="77"/>
      <c r="L5" s="77"/>
      <c r="M5" s="91"/>
      <c r="N5" s="77"/>
      <c r="O5" s="77"/>
      <c r="P5" s="77"/>
      <c r="AC5" s="77"/>
    </row>
    <row r="6" spans="2:41" s="73" customFormat="1" ht="13.5" customHeight="1" x14ac:dyDescent="0.3">
      <c r="D6" s="92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spans="2:41" s="77" customFormat="1" ht="13.5" customHeight="1" x14ac:dyDescent="0.3">
      <c r="B7" s="84" t="s">
        <v>133</v>
      </c>
      <c r="C7" s="85">
        <f>SAISIE!C8</f>
        <v>80000</v>
      </c>
      <c r="D7" s="84">
        <f>SAISIE!$C$8/12</f>
        <v>6666.666666666667</v>
      </c>
      <c r="E7" s="84">
        <f>SAISIE!$C$8/12</f>
        <v>6666.666666666667</v>
      </c>
      <c r="F7" s="84">
        <f>SAISIE!$C$8/12</f>
        <v>6666.666666666667</v>
      </c>
      <c r="G7" s="84">
        <f>SAISIE!$C$8/12</f>
        <v>6666.666666666667</v>
      </c>
      <c r="H7" s="84">
        <f>SAISIE!$C$8/12</f>
        <v>6666.666666666667</v>
      </c>
      <c r="I7" s="84">
        <f>SAISIE!$C$8/12</f>
        <v>6666.666666666667</v>
      </c>
      <c r="J7" s="84">
        <f>SAISIE!$C$8/12</f>
        <v>6666.666666666667</v>
      </c>
      <c r="K7" s="84">
        <f>SAISIE!$C$8/12</f>
        <v>6666.666666666667</v>
      </c>
      <c r="L7" s="84">
        <f>SAISIE!$C$8/12</f>
        <v>6666.666666666667</v>
      </c>
      <c r="M7" s="84">
        <f>SAISIE!$C$8/12</f>
        <v>6666.666666666667</v>
      </c>
      <c r="N7" s="84">
        <f>SAISIE!$C$8/12</f>
        <v>6666.666666666667</v>
      </c>
      <c r="O7" s="84">
        <f>SAISIE!$C$8/12</f>
        <v>6666.666666666667</v>
      </c>
      <c r="P7" s="85">
        <f>SAISIE!D8</f>
        <v>160000</v>
      </c>
      <c r="Q7" s="84">
        <f>SAISIE!$D$8/12</f>
        <v>13333.333333333334</v>
      </c>
      <c r="R7" s="84">
        <f>SAISIE!$D$8/12</f>
        <v>13333.333333333334</v>
      </c>
      <c r="S7" s="84">
        <f>SAISIE!$D$8/12</f>
        <v>13333.333333333334</v>
      </c>
      <c r="T7" s="84">
        <f>SAISIE!$D$8/12</f>
        <v>13333.333333333334</v>
      </c>
      <c r="U7" s="84">
        <f>SAISIE!$D$8/12</f>
        <v>13333.333333333334</v>
      </c>
      <c r="V7" s="84">
        <f>SAISIE!$D$8/12</f>
        <v>13333.333333333334</v>
      </c>
      <c r="W7" s="84">
        <f>SAISIE!$D$8/12</f>
        <v>13333.333333333334</v>
      </c>
      <c r="X7" s="84">
        <f>SAISIE!$D$8/12</f>
        <v>13333.333333333334</v>
      </c>
      <c r="Y7" s="84">
        <f>SAISIE!$D$8/12</f>
        <v>13333.333333333334</v>
      </c>
      <c r="Z7" s="84">
        <f>SAISIE!$D$8/12</f>
        <v>13333.333333333334</v>
      </c>
      <c r="AA7" s="84">
        <f>SAISIE!$D$8/12</f>
        <v>13333.333333333334</v>
      </c>
      <c r="AB7" s="84">
        <f>SAISIE!$D$8/12</f>
        <v>13333.333333333334</v>
      </c>
      <c r="AC7" s="85">
        <f>SAISIE!E8</f>
        <v>240000</v>
      </c>
      <c r="AD7" s="84">
        <f>SAISIE!$E$8/12</f>
        <v>20000</v>
      </c>
      <c r="AE7" s="84">
        <f>SAISIE!$E$8/12</f>
        <v>20000</v>
      </c>
      <c r="AF7" s="84">
        <f>SAISIE!$E$8/12</f>
        <v>20000</v>
      </c>
      <c r="AG7" s="84">
        <f>SAISIE!$E$8/12</f>
        <v>20000</v>
      </c>
      <c r="AH7" s="84">
        <f>SAISIE!$E$8/12</f>
        <v>20000</v>
      </c>
      <c r="AI7" s="84">
        <f>SAISIE!$E$8/12</f>
        <v>20000</v>
      </c>
      <c r="AJ7" s="84">
        <f>SAISIE!$E$8/12</f>
        <v>20000</v>
      </c>
      <c r="AK7" s="84">
        <f>SAISIE!$E$8/12</f>
        <v>20000</v>
      </c>
      <c r="AL7" s="84">
        <f>SAISIE!$E$8/12</f>
        <v>20000</v>
      </c>
      <c r="AM7" s="84">
        <f>SAISIE!$E$8/12</f>
        <v>20000</v>
      </c>
      <c r="AN7" s="84">
        <f>SAISIE!$E$8/12</f>
        <v>20000</v>
      </c>
      <c r="AO7" s="84">
        <f>SAISIE!$E$8/12</f>
        <v>20000</v>
      </c>
    </row>
    <row r="8" spans="2:41" s="73" customFormat="1" ht="13.5" customHeight="1" x14ac:dyDescent="0.3">
      <c r="B8" s="73" t="s">
        <v>264</v>
      </c>
      <c r="C8" s="93">
        <v>0.5</v>
      </c>
      <c r="O8" s="77"/>
      <c r="P8" s="77"/>
      <c r="AB8" s="77"/>
      <c r="AC8" s="77"/>
      <c r="AO8" s="77"/>
    </row>
    <row r="9" spans="2:41" s="73" customFormat="1" ht="13.5" customHeight="1" x14ac:dyDescent="0.3">
      <c r="B9" s="90" t="s">
        <v>265</v>
      </c>
      <c r="C9" s="77"/>
      <c r="F9" s="77"/>
      <c r="G9" s="77"/>
      <c r="H9" s="77"/>
      <c r="I9" s="77"/>
      <c r="J9" s="77"/>
      <c r="K9" s="77"/>
      <c r="L9" s="77"/>
      <c r="M9" s="91"/>
      <c r="N9" s="77"/>
      <c r="O9" s="77"/>
      <c r="P9" s="77"/>
      <c r="S9" s="77"/>
      <c r="T9" s="77"/>
      <c r="U9" s="77"/>
      <c r="V9" s="77"/>
      <c r="W9" s="77"/>
      <c r="X9" s="77"/>
      <c r="Y9" s="77"/>
      <c r="Z9" s="91"/>
      <c r="AA9" s="77"/>
      <c r="AB9" s="77"/>
      <c r="AC9" s="77"/>
      <c r="AF9" s="77"/>
      <c r="AG9" s="77"/>
      <c r="AH9" s="77"/>
      <c r="AI9" s="77"/>
      <c r="AJ9" s="77"/>
      <c r="AK9" s="77"/>
      <c r="AL9" s="77"/>
      <c r="AM9" s="91"/>
      <c r="AN9" s="77"/>
      <c r="AO9" s="77"/>
    </row>
    <row r="10" spans="2:41" s="73" customFormat="1" ht="13.5" customHeight="1" x14ac:dyDescent="0.3"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spans="2:41" s="77" customFormat="1" ht="13.5" customHeight="1" x14ac:dyDescent="0.3">
      <c r="B11" s="84" t="s">
        <v>133</v>
      </c>
      <c r="C11" s="85">
        <f>SAISIE!C9</f>
        <v>0</v>
      </c>
      <c r="D11" s="84">
        <f>SAISIE!$C$9/12</f>
        <v>0</v>
      </c>
      <c r="E11" s="84">
        <f>SAISIE!$C$9/12</f>
        <v>0</v>
      </c>
      <c r="F11" s="84">
        <f>SAISIE!$C$9/12</f>
        <v>0</v>
      </c>
      <c r="G11" s="84">
        <f>SAISIE!$C$9/12</f>
        <v>0</v>
      </c>
      <c r="H11" s="84">
        <f>SAISIE!$C$9/12</f>
        <v>0</v>
      </c>
      <c r="I11" s="84">
        <f>SAISIE!$C$9/12</f>
        <v>0</v>
      </c>
      <c r="J11" s="84">
        <f>SAISIE!$C$9/12</f>
        <v>0</v>
      </c>
      <c r="K11" s="84">
        <f>SAISIE!$C$9/12</f>
        <v>0</v>
      </c>
      <c r="L11" s="84">
        <f>SAISIE!$C$9/12</f>
        <v>0</v>
      </c>
      <c r="M11" s="84">
        <f>SAISIE!$C$9/12</f>
        <v>0</v>
      </c>
      <c r="N11" s="84">
        <f>SAISIE!$C$9/12</f>
        <v>0</v>
      </c>
      <c r="O11" s="84">
        <f>SAISIE!$C$9/12</f>
        <v>0</v>
      </c>
      <c r="P11" s="85">
        <f>SAISIE!D9</f>
        <v>36000</v>
      </c>
      <c r="Q11" s="84">
        <f>SAISIE!$D$9/12</f>
        <v>3000</v>
      </c>
      <c r="R11" s="84">
        <f>SAISIE!$D$9/12</f>
        <v>3000</v>
      </c>
      <c r="S11" s="84">
        <f>SAISIE!$D$9/12</f>
        <v>3000</v>
      </c>
      <c r="T11" s="84">
        <f>SAISIE!$D$9/12</f>
        <v>3000</v>
      </c>
      <c r="U11" s="84">
        <f>SAISIE!$D$9/12</f>
        <v>3000</v>
      </c>
      <c r="V11" s="84">
        <f>SAISIE!$D$9/12</f>
        <v>3000</v>
      </c>
      <c r="W11" s="84">
        <f>SAISIE!$D$9/12</f>
        <v>3000</v>
      </c>
      <c r="X11" s="84">
        <f>SAISIE!$D$9/12</f>
        <v>3000</v>
      </c>
      <c r="Y11" s="84">
        <f>SAISIE!$D$9/12</f>
        <v>3000</v>
      </c>
      <c r="Z11" s="84">
        <f>SAISIE!$D$9/12</f>
        <v>3000</v>
      </c>
      <c r="AA11" s="84">
        <f>SAISIE!$D$9/12</f>
        <v>3000</v>
      </c>
      <c r="AB11" s="84">
        <f>SAISIE!$D$9/12</f>
        <v>3000</v>
      </c>
      <c r="AC11" s="85">
        <f>SAISIE!E9</f>
        <v>72000</v>
      </c>
      <c r="AD11" s="84">
        <f>SAISIE!$E$9/12</f>
        <v>6000</v>
      </c>
      <c r="AE11" s="84">
        <f>SAISIE!$E$9/12</f>
        <v>6000</v>
      </c>
      <c r="AF11" s="84">
        <f>SAISIE!$E$9/12</f>
        <v>6000</v>
      </c>
      <c r="AG11" s="84">
        <f>SAISIE!$E$9/12</f>
        <v>6000</v>
      </c>
      <c r="AH11" s="84">
        <f>SAISIE!$E$9/12</f>
        <v>6000</v>
      </c>
      <c r="AI11" s="84">
        <f>SAISIE!$E$9/12</f>
        <v>6000</v>
      </c>
      <c r="AJ11" s="84">
        <f>SAISIE!$E$9/12</f>
        <v>6000</v>
      </c>
      <c r="AK11" s="84">
        <f>SAISIE!$E$9/12</f>
        <v>6000</v>
      </c>
      <c r="AL11" s="84">
        <f>SAISIE!$E$9/12</f>
        <v>6000</v>
      </c>
      <c r="AM11" s="84">
        <f>SAISIE!$E$9/12</f>
        <v>6000</v>
      </c>
      <c r="AN11" s="84">
        <f>SAISIE!$E$9/12</f>
        <v>6000</v>
      </c>
      <c r="AO11" s="84">
        <f>SAISIE!$E$9/12</f>
        <v>6000</v>
      </c>
    </row>
    <row r="12" spans="2:41" s="73" customFormat="1" ht="13.5" customHeight="1" x14ac:dyDescent="0.3">
      <c r="B12" s="73" t="s">
        <v>264</v>
      </c>
      <c r="C12" s="93">
        <v>0.116666666666667</v>
      </c>
      <c r="O12" s="77"/>
      <c r="P12" s="77"/>
      <c r="AB12" s="77"/>
      <c r="AC12" s="77"/>
      <c r="AO12" s="77"/>
    </row>
    <row r="13" spans="2:41" s="73" customFormat="1" ht="13.5" customHeight="1" x14ac:dyDescent="0.3">
      <c r="B13" s="90" t="s">
        <v>266</v>
      </c>
      <c r="C13" s="77"/>
      <c r="F13" s="77"/>
      <c r="G13" s="77"/>
      <c r="H13" s="77"/>
      <c r="I13" s="77"/>
      <c r="J13" s="77"/>
      <c r="K13" s="77"/>
      <c r="L13" s="77"/>
      <c r="M13" s="91"/>
      <c r="N13" s="77"/>
      <c r="O13" s="77"/>
      <c r="P13" s="77"/>
      <c r="S13" s="77"/>
      <c r="T13" s="77"/>
      <c r="U13" s="77"/>
      <c r="V13" s="77"/>
      <c r="W13" s="77"/>
      <c r="X13" s="77"/>
      <c r="Y13" s="77"/>
      <c r="Z13" s="91"/>
      <c r="AA13" s="77"/>
      <c r="AB13" s="77"/>
      <c r="AC13" s="77"/>
      <c r="AF13" s="77"/>
      <c r="AG13" s="77"/>
      <c r="AH13" s="77"/>
      <c r="AI13" s="77"/>
      <c r="AJ13" s="77"/>
      <c r="AK13" s="77"/>
      <c r="AL13" s="77"/>
      <c r="AM13" s="91"/>
      <c r="AN13" s="77"/>
      <c r="AO13" s="77"/>
    </row>
    <row r="14" spans="2:41" s="73" customFormat="1" ht="13.5" customHeight="1" x14ac:dyDescent="0.3">
      <c r="B14" s="90"/>
      <c r="C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</row>
    <row r="15" spans="2:41" s="77" customFormat="1" ht="13.5" customHeight="1" x14ac:dyDescent="0.3">
      <c r="B15" s="84" t="s">
        <v>133</v>
      </c>
      <c r="C15" s="85">
        <f>SAISIE!C10</f>
        <v>5000</v>
      </c>
      <c r="D15" s="84">
        <f>SAISIE!$C$10/12</f>
        <v>416.66666666666669</v>
      </c>
      <c r="E15" s="84">
        <f>SAISIE!$C$10/12</f>
        <v>416.66666666666669</v>
      </c>
      <c r="F15" s="84">
        <f>SAISIE!$C$10/12</f>
        <v>416.66666666666669</v>
      </c>
      <c r="G15" s="84">
        <f>SAISIE!$C$10/12</f>
        <v>416.66666666666669</v>
      </c>
      <c r="H15" s="84">
        <f>SAISIE!$C$10/12</f>
        <v>416.66666666666669</v>
      </c>
      <c r="I15" s="84">
        <f>SAISIE!$C$10/12</f>
        <v>416.66666666666669</v>
      </c>
      <c r="J15" s="84">
        <f>SAISIE!$C$10/12</f>
        <v>416.66666666666669</v>
      </c>
      <c r="K15" s="84">
        <f>SAISIE!$C$10/12</f>
        <v>416.66666666666669</v>
      </c>
      <c r="L15" s="84">
        <f>SAISIE!$C$10/12</f>
        <v>416.66666666666669</v>
      </c>
      <c r="M15" s="84">
        <f>SAISIE!$C$10/12</f>
        <v>416.66666666666669</v>
      </c>
      <c r="N15" s="84">
        <f>SAISIE!$C$10/12</f>
        <v>416.66666666666669</v>
      </c>
      <c r="O15" s="84">
        <f>SAISIE!$C$10/12</f>
        <v>416.66666666666669</v>
      </c>
      <c r="P15" s="85">
        <f>SAISIE!D10</f>
        <v>10000</v>
      </c>
      <c r="Q15" s="84">
        <f>SAISIE!$D$10/12</f>
        <v>833.33333333333337</v>
      </c>
      <c r="R15" s="84">
        <f>SAISIE!$D$10/12</f>
        <v>833.33333333333337</v>
      </c>
      <c r="S15" s="84">
        <f>SAISIE!$D$10/12</f>
        <v>833.33333333333337</v>
      </c>
      <c r="T15" s="84">
        <f>SAISIE!$D$10/12</f>
        <v>833.33333333333337</v>
      </c>
      <c r="U15" s="84">
        <f>SAISIE!$D$10/12</f>
        <v>833.33333333333337</v>
      </c>
      <c r="V15" s="84">
        <f>SAISIE!$D$10/12</f>
        <v>833.33333333333337</v>
      </c>
      <c r="W15" s="84">
        <f>SAISIE!$D$10/12</f>
        <v>833.33333333333337</v>
      </c>
      <c r="X15" s="84">
        <f>SAISIE!$D$10/12</f>
        <v>833.33333333333337</v>
      </c>
      <c r="Y15" s="84">
        <f>SAISIE!$D$10/12</f>
        <v>833.33333333333337</v>
      </c>
      <c r="Z15" s="84">
        <f>SAISIE!$D$10/12</f>
        <v>833.33333333333337</v>
      </c>
      <c r="AA15" s="84">
        <f>SAISIE!$D$10/12</f>
        <v>833.33333333333337</v>
      </c>
      <c r="AB15" s="84">
        <f>SAISIE!$D$10/12</f>
        <v>833.33333333333337</v>
      </c>
      <c r="AC15" s="85">
        <f>SAISIE!E10</f>
        <v>15000</v>
      </c>
      <c r="AD15" s="84">
        <f>SAISIE!$E$10/12</f>
        <v>1250</v>
      </c>
      <c r="AE15" s="84">
        <f>SAISIE!$E$10/12</f>
        <v>1250</v>
      </c>
      <c r="AF15" s="84">
        <f>SAISIE!$E$10/12</f>
        <v>1250</v>
      </c>
      <c r="AG15" s="84">
        <f>SAISIE!$E$10/12</f>
        <v>1250</v>
      </c>
      <c r="AH15" s="84">
        <f>SAISIE!$E$10/12</f>
        <v>1250</v>
      </c>
      <c r="AI15" s="84">
        <f>SAISIE!$E$10/12</f>
        <v>1250</v>
      </c>
      <c r="AJ15" s="84">
        <f>SAISIE!$E$10/12</f>
        <v>1250</v>
      </c>
      <c r="AK15" s="84">
        <f>SAISIE!$E$10/12</f>
        <v>1250</v>
      </c>
      <c r="AL15" s="84">
        <f>SAISIE!$E$10/12</f>
        <v>1250</v>
      </c>
      <c r="AM15" s="84">
        <f>SAISIE!$E$10/12</f>
        <v>1250</v>
      </c>
      <c r="AN15" s="84">
        <f>SAISIE!$E$10/12</f>
        <v>1250</v>
      </c>
      <c r="AO15" s="84">
        <f>SAISIE!$E$10/12</f>
        <v>1250</v>
      </c>
    </row>
    <row r="16" spans="2:41" s="73" customFormat="1" ht="13.5" customHeight="1" x14ac:dyDescent="0.3">
      <c r="B16" s="73" t="s">
        <v>264</v>
      </c>
      <c r="C16" s="93">
        <v>0.116666666666667</v>
      </c>
      <c r="O16" s="77"/>
      <c r="P16" s="77"/>
      <c r="AB16" s="77"/>
      <c r="AC16" s="77"/>
      <c r="AO16" s="77"/>
    </row>
    <row r="17" spans="2:41" s="73" customFormat="1" ht="13.5" customHeight="1" x14ac:dyDescent="0.3">
      <c r="B17" s="90" t="s">
        <v>267</v>
      </c>
      <c r="C17" s="77"/>
      <c r="F17" s="77"/>
      <c r="G17" s="77"/>
      <c r="H17" s="77"/>
      <c r="I17" s="77"/>
      <c r="J17" s="77"/>
      <c r="K17" s="77"/>
      <c r="L17" s="77"/>
      <c r="M17" s="91"/>
      <c r="N17" s="77"/>
      <c r="O17" s="77"/>
      <c r="P17" s="77"/>
      <c r="S17" s="77"/>
      <c r="T17" s="77"/>
      <c r="U17" s="77"/>
      <c r="V17" s="77"/>
      <c r="W17" s="77"/>
      <c r="X17" s="77"/>
      <c r="Y17" s="77"/>
      <c r="Z17" s="91"/>
      <c r="AA17" s="77"/>
      <c r="AB17" s="77"/>
      <c r="AC17" s="77"/>
      <c r="AF17" s="77"/>
      <c r="AG17" s="77"/>
      <c r="AH17" s="77"/>
      <c r="AI17" s="77"/>
      <c r="AJ17" s="77"/>
      <c r="AK17" s="77"/>
      <c r="AL17" s="77"/>
      <c r="AM17" s="91"/>
      <c r="AN17" s="77"/>
      <c r="AO17" s="77"/>
    </row>
    <row r="18" spans="2:41" s="73" customFormat="1" ht="13.5" customHeight="1" x14ac:dyDescent="0.3"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</row>
    <row r="19" spans="2:41" s="77" customFormat="1" ht="13.5" customHeight="1" x14ac:dyDescent="0.3">
      <c r="B19" s="84" t="s">
        <v>133</v>
      </c>
      <c r="C19" s="85">
        <f>SAISIE!C11</f>
        <v>3000</v>
      </c>
      <c r="D19" s="84">
        <f>SAISIE!$C$11/12</f>
        <v>250</v>
      </c>
      <c r="E19" s="84">
        <f>SAISIE!$C$11/12</f>
        <v>250</v>
      </c>
      <c r="F19" s="84">
        <f>SAISIE!$C$11/12</f>
        <v>250</v>
      </c>
      <c r="G19" s="84">
        <f>SAISIE!$C$11/12</f>
        <v>250</v>
      </c>
      <c r="H19" s="84">
        <f>SAISIE!$C$11/12</f>
        <v>250</v>
      </c>
      <c r="I19" s="84">
        <f>SAISIE!$C$11/12</f>
        <v>250</v>
      </c>
      <c r="J19" s="84">
        <f>SAISIE!$C$11/12</f>
        <v>250</v>
      </c>
      <c r="K19" s="84">
        <f>SAISIE!$C$11/12</f>
        <v>250</v>
      </c>
      <c r="L19" s="84">
        <f>SAISIE!$C$11/12</f>
        <v>250</v>
      </c>
      <c r="M19" s="84">
        <f>SAISIE!$C$11/12</f>
        <v>250</v>
      </c>
      <c r="N19" s="84">
        <f>SAISIE!$C$11/12</f>
        <v>250</v>
      </c>
      <c r="O19" s="84">
        <f>SAISIE!$C$11/12</f>
        <v>250</v>
      </c>
      <c r="P19" s="85">
        <f>SAISIE!D11</f>
        <v>6000</v>
      </c>
      <c r="Q19" s="84">
        <f>SAISIE!$D$11/12</f>
        <v>500</v>
      </c>
      <c r="R19" s="84">
        <f>SAISIE!$D$11/12</f>
        <v>500</v>
      </c>
      <c r="S19" s="84">
        <f>SAISIE!$D$11/12</f>
        <v>500</v>
      </c>
      <c r="T19" s="84">
        <f>SAISIE!$D$11/12</f>
        <v>500</v>
      </c>
      <c r="U19" s="84">
        <f>SAISIE!$D$11/12</f>
        <v>500</v>
      </c>
      <c r="V19" s="84">
        <f>SAISIE!$D$11/12</f>
        <v>500</v>
      </c>
      <c r="W19" s="84">
        <f>SAISIE!$D$11/12</f>
        <v>500</v>
      </c>
      <c r="X19" s="84">
        <f>SAISIE!$D$11/12</f>
        <v>500</v>
      </c>
      <c r="Y19" s="84">
        <f>SAISIE!$D$11/12</f>
        <v>500</v>
      </c>
      <c r="Z19" s="84">
        <f>SAISIE!$D$11/12</f>
        <v>500</v>
      </c>
      <c r="AA19" s="84">
        <f>SAISIE!$D$11/12</f>
        <v>500</v>
      </c>
      <c r="AB19" s="84">
        <f>SAISIE!$D$11/12</f>
        <v>500</v>
      </c>
      <c r="AC19" s="85">
        <f>SAISIE!E11</f>
        <v>18000</v>
      </c>
      <c r="AD19" s="84">
        <f>SAISIE!$E$11/12</f>
        <v>1500</v>
      </c>
      <c r="AE19" s="84">
        <f>SAISIE!$E$11/12</f>
        <v>1500</v>
      </c>
      <c r="AF19" s="84">
        <f>SAISIE!$E$11/12</f>
        <v>1500</v>
      </c>
      <c r="AG19" s="84">
        <f>SAISIE!$E$11/12</f>
        <v>1500</v>
      </c>
      <c r="AH19" s="84">
        <f>SAISIE!$E$11/12</f>
        <v>1500</v>
      </c>
      <c r="AI19" s="84">
        <f>SAISIE!$E$11/12</f>
        <v>1500</v>
      </c>
      <c r="AJ19" s="84">
        <f>SAISIE!$E$11/12</f>
        <v>1500</v>
      </c>
      <c r="AK19" s="84">
        <f>SAISIE!$E$11/12</f>
        <v>1500</v>
      </c>
      <c r="AL19" s="84">
        <f>SAISIE!$E$11/12</f>
        <v>1500</v>
      </c>
      <c r="AM19" s="84">
        <f>SAISIE!$E$11/12</f>
        <v>1500</v>
      </c>
      <c r="AN19" s="84">
        <f>SAISIE!$E$11/12</f>
        <v>1500</v>
      </c>
      <c r="AO19" s="84">
        <f>SAISIE!$E$11/12</f>
        <v>1500</v>
      </c>
    </row>
    <row r="20" spans="2:41" s="73" customFormat="1" ht="13.5" customHeight="1" x14ac:dyDescent="0.3">
      <c r="B20" s="73" t="s">
        <v>264</v>
      </c>
      <c r="C20" s="93">
        <v>0.16666666666666699</v>
      </c>
      <c r="O20" s="77"/>
      <c r="P20" s="77"/>
      <c r="AB20" s="77"/>
      <c r="AC20" s="77"/>
      <c r="AO20" s="77"/>
    </row>
    <row r="21" spans="2:41" s="73" customFormat="1" ht="13.5" customHeight="1" x14ac:dyDescent="0.3">
      <c r="B21" s="90" t="s">
        <v>268</v>
      </c>
      <c r="C21" s="77"/>
      <c r="F21" s="77"/>
      <c r="G21" s="77"/>
      <c r="H21" s="77"/>
      <c r="I21" s="77"/>
      <c r="J21" s="77"/>
      <c r="K21" s="77"/>
      <c r="L21" s="77"/>
      <c r="M21" s="91"/>
      <c r="N21" s="77"/>
      <c r="O21" s="77"/>
      <c r="P21" s="77"/>
      <c r="S21" s="77"/>
      <c r="T21" s="77"/>
      <c r="U21" s="77"/>
      <c r="V21" s="77"/>
      <c r="W21" s="77"/>
      <c r="X21" s="77"/>
      <c r="Y21" s="77"/>
      <c r="Z21" s="91"/>
      <c r="AA21" s="77"/>
      <c r="AB21" s="77"/>
      <c r="AC21" s="77"/>
      <c r="AF21" s="77"/>
      <c r="AG21" s="77"/>
      <c r="AH21" s="77"/>
      <c r="AI21" s="77"/>
      <c r="AJ21" s="77"/>
      <c r="AK21" s="77"/>
      <c r="AL21" s="77"/>
      <c r="AM21" s="91"/>
      <c r="AN21" s="77"/>
      <c r="AO21" s="77"/>
    </row>
    <row r="22" spans="2:41" s="73" customFormat="1" ht="13.5" customHeight="1" x14ac:dyDescent="0.3">
      <c r="B22" s="90"/>
      <c r="C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</row>
    <row r="23" spans="2:41" s="77" customFormat="1" ht="13.5" customHeight="1" x14ac:dyDescent="0.3">
      <c r="B23" s="84" t="s">
        <v>133</v>
      </c>
      <c r="C23" s="85">
        <f>SAISIE!C12</f>
        <v>25000</v>
      </c>
      <c r="D23" s="84">
        <f>SAISIE!$C$12/12</f>
        <v>2083.3333333333335</v>
      </c>
      <c r="E23" s="84">
        <f>SAISIE!$C$12/12</f>
        <v>2083.3333333333335</v>
      </c>
      <c r="F23" s="84">
        <f>SAISIE!$C$12/12</f>
        <v>2083.3333333333335</v>
      </c>
      <c r="G23" s="84">
        <f>SAISIE!$C$12/12</f>
        <v>2083.3333333333335</v>
      </c>
      <c r="H23" s="84">
        <f>SAISIE!$C$12/12</f>
        <v>2083.3333333333335</v>
      </c>
      <c r="I23" s="84">
        <f>SAISIE!$C$12/12</f>
        <v>2083.3333333333335</v>
      </c>
      <c r="J23" s="84">
        <f>SAISIE!$C$12/12</f>
        <v>2083.3333333333335</v>
      </c>
      <c r="K23" s="84">
        <f>SAISIE!$C$12/12</f>
        <v>2083.3333333333335</v>
      </c>
      <c r="L23" s="84">
        <f>SAISIE!$C$12/12</f>
        <v>2083.3333333333335</v>
      </c>
      <c r="M23" s="84">
        <f>SAISIE!$C$12/12</f>
        <v>2083.3333333333335</v>
      </c>
      <c r="N23" s="84">
        <f>SAISIE!$C$12/12</f>
        <v>2083.3333333333335</v>
      </c>
      <c r="O23" s="84">
        <f>SAISIE!$C$12/12</f>
        <v>2083.3333333333335</v>
      </c>
      <c r="P23" s="85">
        <f>SAISIE!D12</f>
        <v>36000</v>
      </c>
      <c r="Q23" s="84">
        <f>SAISIE!$D$12/12</f>
        <v>3000</v>
      </c>
      <c r="R23" s="84">
        <f>SAISIE!$D$12/12</f>
        <v>3000</v>
      </c>
      <c r="S23" s="84">
        <f>SAISIE!$D$12/12</f>
        <v>3000</v>
      </c>
      <c r="T23" s="84">
        <f>SAISIE!$D$12/12</f>
        <v>3000</v>
      </c>
      <c r="U23" s="84">
        <f>SAISIE!$D$12/12</f>
        <v>3000</v>
      </c>
      <c r="V23" s="84">
        <f>SAISIE!$D$12/12</f>
        <v>3000</v>
      </c>
      <c r="W23" s="84">
        <f>SAISIE!$D$12/12</f>
        <v>3000</v>
      </c>
      <c r="X23" s="84">
        <f>SAISIE!$D$12/12</f>
        <v>3000</v>
      </c>
      <c r="Y23" s="84">
        <f>SAISIE!$D$12/12</f>
        <v>3000</v>
      </c>
      <c r="Z23" s="84">
        <f>SAISIE!$D$12/12</f>
        <v>3000</v>
      </c>
      <c r="AA23" s="84">
        <f>SAISIE!$D$12/12</f>
        <v>3000</v>
      </c>
      <c r="AB23" s="84">
        <f>SAISIE!$D$12/12</f>
        <v>3000</v>
      </c>
      <c r="AC23" s="85">
        <f>SAISIE!E12</f>
        <v>72000</v>
      </c>
      <c r="AD23" s="84">
        <f>SAISIE!$E$12/12</f>
        <v>6000</v>
      </c>
      <c r="AE23" s="84">
        <f>SAISIE!$E$12/12</f>
        <v>6000</v>
      </c>
      <c r="AF23" s="84">
        <f>SAISIE!$E$12/12</f>
        <v>6000</v>
      </c>
      <c r="AG23" s="84">
        <f>SAISIE!$E$12/12</f>
        <v>6000</v>
      </c>
      <c r="AH23" s="84">
        <f>SAISIE!$E$12/12</f>
        <v>6000</v>
      </c>
      <c r="AI23" s="84">
        <f>SAISIE!$E$12/12</f>
        <v>6000</v>
      </c>
      <c r="AJ23" s="84">
        <f>SAISIE!$E$12/12</f>
        <v>6000</v>
      </c>
      <c r="AK23" s="84">
        <f>SAISIE!$E$12/12</f>
        <v>6000</v>
      </c>
      <c r="AL23" s="84">
        <f>SAISIE!$E$12/12</f>
        <v>6000</v>
      </c>
      <c r="AM23" s="84">
        <f>SAISIE!$E$12/12</f>
        <v>6000</v>
      </c>
      <c r="AN23" s="84">
        <f>SAISIE!$E$12/12</f>
        <v>6000</v>
      </c>
      <c r="AO23" s="84">
        <f>SAISIE!$E$12/12</f>
        <v>6000</v>
      </c>
    </row>
    <row r="24" spans="2:41" s="73" customFormat="1" ht="13.5" customHeight="1" x14ac:dyDescent="0.3">
      <c r="B24" s="73" t="s">
        <v>264</v>
      </c>
      <c r="C24" s="93"/>
      <c r="O24" s="77"/>
      <c r="P24" s="77"/>
      <c r="AC24" s="77"/>
    </row>
    <row r="25" spans="2:41" s="73" customFormat="1" ht="13.5" customHeight="1" x14ac:dyDescent="0.3">
      <c r="C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AC25" s="77"/>
    </row>
    <row r="26" spans="2:41" s="76" customFormat="1" ht="13.5" customHeight="1" x14ac:dyDescent="0.3">
      <c r="B26" s="74" t="s">
        <v>269</v>
      </c>
      <c r="C26" s="94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94"/>
      <c r="AC26" s="94"/>
    </row>
    <row r="27" spans="2:41" s="76" customFormat="1" ht="13.5" customHeight="1" x14ac:dyDescent="0.3">
      <c r="B27" s="74"/>
      <c r="C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AC27" s="75"/>
    </row>
    <row r="28" spans="2:41" s="78" customFormat="1" ht="13.5" customHeight="1" x14ac:dyDescent="0.3">
      <c r="C28" s="77"/>
      <c r="D28" s="79">
        <v>46053</v>
      </c>
      <c r="E28" s="79">
        <v>46081</v>
      </c>
      <c r="F28" s="79">
        <v>46112</v>
      </c>
      <c r="G28" s="79">
        <v>46142</v>
      </c>
      <c r="H28" s="79">
        <v>46173</v>
      </c>
      <c r="I28" s="79">
        <v>46203</v>
      </c>
      <c r="J28" s="79">
        <v>46234</v>
      </c>
      <c r="K28" s="79">
        <v>46265</v>
      </c>
      <c r="L28" s="79">
        <v>46295</v>
      </c>
      <c r="M28" s="79">
        <v>46326</v>
      </c>
      <c r="N28" s="79">
        <v>46356</v>
      </c>
      <c r="O28" s="79">
        <v>46387</v>
      </c>
      <c r="P28" s="77"/>
      <c r="Q28" s="79">
        <v>46418</v>
      </c>
      <c r="R28" s="79">
        <v>46446</v>
      </c>
      <c r="S28" s="79">
        <v>46477</v>
      </c>
      <c r="T28" s="79">
        <v>46507</v>
      </c>
      <c r="U28" s="79">
        <v>46538</v>
      </c>
      <c r="V28" s="79">
        <v>46568</v>
      </c>
      <c r="W28" s="79">
        <v>46599</v>
      </c>
      <c r="X28" s="79">
        <v>46630</v>
      </c>
      <c r="Y28" s="79">
        <v>46660</v>
      </c>
      <c r="Z28" s="79">
        <v>46691</v>
      </c>
      <c r="AA28" s="79">
        <v>46721</v>
      </c>
      <c r="AB28" s="79">
        <v>46752</v>
      </c>
      <c r="AC28" s="77"/>
      <c r="AD28" s="79">
        <v>46783</v>
      </c>
      <c r="AE28" s="79">
        <v>46811</v>
      </c>
      <c r="AF28" s="79">
        <v>46839</v>
      </c>
      <c r="AG28" s="79">
        <v>46867</v>
      </c>
      <c r="AH28" s="79">
        <v>46895</v>
      </c>
      <c r="AI28" s="79">
        <v>46923</v>
      </c>
      <c r="AJ28" s="79">
        <v>46951</v>
      </c>
      <c r="AK28" s="79">
        <v>46979</v>
      </c>
      <c r="AL28" s="79">
        <v>47007</v>
      </c>
      <c r="AM28" s="79">
        <v>47035</v>
      </c>
      <c r="AN28" s="79">
        <v>47063</v>
      </c>
      <c r="AO28" s="79">
        <v>47091</v>
      </c>
    </row>
    <row r="29" spans="2:41" s="73" customFormat="1" ht="13.5" customHeight="1" x14ac:dyDescent="0.3">
      <c r="C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AC29" s="77"/>
    </row>
    <row r="30" spans="2:41" s="73" customFormat="1" ht="13.5" customHeight="1" x14ac:dyDescent="0.3">
      <c r="B30" s="95" t="str">
        <f>+B5</f>
        <v>a) Expertise-comptable</v>
      </c>
      <c r="C30" s="85">
        <f t="shared" ref="C30:AO30" si="3">+C7</f>
        <v>80000</v>
      </c>
      <c r="D30" s="85">
        <f t="shared" si="3"/>
        <v>6666.666666666667</v>
      </c>
      <c r="E30" s="85">
        <f t="shared" si="3"/>
        <v>6666.666666666667</v>
      </c>
      <c r="F30" s="85">
        <f t="shared" si="3"/>
        <v>6666.666666666667</v>
      </c>
      <c r="G30" s="85">
        <f t="shared" si="3"/>
        <v>6666.666666666667</v>
      </c>
      <c r="H30" s="85">
        <f t="shared" si="3"/>
        <v>6666.666666666667</v>
      </c>
      <c r="I30" s="85">
        <f t="shared" si="3"/>
        <v>6666.666666666667</v>
      </c>
      <c r="J30" s="85">
        <f t="shared" si="3"/>
        <v>6666.666666666667</v>
      </c>
      <c r="K30" s="85">
        <f t="shared" si="3"/>
        <v>6666.666666666667</v>
      </c>
      <c r="L30" s="85">
        <f t="shared" si="3"/>
        <v>6666.666666666667</v>
      </c>
      <c r="M30" s="85">
        <f t="shared" si="3"/>
        <v>6666.666666666667</v>
      </c>
      <c r="N30" s="85">
        <f t="shared" si="3"/>
        <v>6666.666666666667</v>
      </c>
      <c r="O30" s="85">
        <f t="shared" si="3"/>
        <v>6666.666666666667</v>
      </c>
      <c r="P30" s="85">
        <f t="shared" si="3"/>
        <v>160000</v>
      </c>
      <c r="Q30" s="85">
        <f t="shared" si="3"/>
        <v>13333.333333333334</v>
      </c>
      <c r="R30" s="85">
        <f t="shared" si="3"/>
        <v>13333.333333333334</v>
      </c>
      <c r="S30" s="85">
        <f t="shared" si="3"/>
        <v>13333.333333333334</v>
      </c>
      <c r="T30" s="85">
        <f t="shared" si="3"/>
        <v>13333.333333333334</v>
      </c>
      <c r="U30" s="85">
        <f t="shared" si="3"/>
        <v>13333.333333333334</v>
      </c>
      <c r="V30" s="85">
        <f t="shared" si="3"/>
        <v>13333.333333333334</v>
      </c>
      <c r="W30" s="85">
        <f t="shared" si="3"/>
        <v>13333.333333333334</v>
      </c>
      <c r="X30" s="85">
        <f t="shared" si="3"/>
        <v>13333.333333333334</v>
      </c>
      <c r="Y30" s="85">
        <f t="shared" si="3"/>
        <v>13333.333333333334</v>
      </c>
      <c r="Z30" s="85">
        <f t="shared" si="3"/>
        <v>13333.333333333334</v>
      </c>
      <c r="AA30" s="85">
        <f t="shared" si="3"/>
        <v>13333.333333333334</v>
      </c>
      <c r="AB30" s="85">
        <f t="shared" si="3"/>
        <v>13333.333333333334</v>
      </c>
      <c r="AC30" s="85">
        <f t="shared" si="3"/>
        <v>240000</v>
      </c>
      <c r="AD30" s="85">
        <f t="shared" si="3"/>
        <v>20000</v>
      </c>
      <c r="AE30" s="85">
        <f t="shared" si="3"/>
        <v>20000</v>
      </c>
      <c r="AF30" s="85">
        <f t="shared" si="3"/>
        <v>20000</v>
      </c>
      <c r="AG30" s="85">
        <f t="shared" si="3"/>
        <v>20000</v>
      </c>
      <c r="AH30" s="85">
        <f t="shared" si="3"/>
        <v>20000</v>
      </c>
      <c r="AI30" s="85">
        <f t="shared" si="3"/>
        <v>20000</v>
      </c>
      <c r="AJ30" s="85">
        <f t="shared" si="3"/>
        <v>20000</v>
      </c>
      <c r="AK30" s="85">
        <f t="shared" si="3"/>
        <v>20000</v>
      </c>
      <c r="AL30" s="85">
        <f t="shared" si="3"/>
        <v>20000</v>
      </c>
      <c r="AM30" s="85">
        <f t="shared" si="3"/>
        <v>20000</v>
      </c>
      <c r="AN30" s="85">
        <f t="shared" si="3"/>
        <v>20000</v>
      </c>
      <c r="AO30" s="85">
        <f t="shared" si="3"/>
        <v>20000</v>
      </c>
    </row>
    <row r="31" spans="2:41" s="73" customFormat="1" ht="13.5" customHeight="1" x14ac:dyDescent="0.3">
      <c r="B31" s="95" t="str">
        <f>+B9</f>
        <v>b) CAC</v>
      </c>
      <c r="C31" s="85">
        <f t="shared" ref="C31:AO31" si="4">+C11</f>
        <v>0</v>
      </c>
      <c r="D31" s="85">
        <f t="shared" si="4"/>
        <v>0</v>
      </c>
      <c r="E31" s="85">
        <f t="shared" si="4"/>
        <v>0</v>
      </c>
      <c r="F31" s="85">
        <f t="shared" si="4"/>
        <v>0</v>
      </c>
      <c r="G31" s="85">
        <f t="shared" si="4"/>
        <v>0</v>
      </c>
      <c r="H31" s="85">
        <f t="shared" si="4"/>
        <v>0</v>
      </c>
      <c r="I31" s="85">
        <f t="shared" si="4"/>
        <v>0</v>
      </c>
      <c r="J31" s="85">
        <f t="shared" si="4"/>
        <v>0</v>
      </c>
      <c r="K31" s="85">
        <f t="shared" si="4"/>
        <v>0</v>
      </c>
      <c r="L31" s="85">
        <f t="shared" si="4"/>
        <v>0</v>
      </c>
      <c r="M31" s="85">
        <f t="shared" si="4"/>
        <v>0</v>
      </c>
      <c r="N31" s="85">
        <f t="shared" si="4"/>
        <v>0</v>
      </c>
      <c r="O31" s="85">
        <f t="shared" si="4"/>
        <v>0</v>
      </c>
      <c r="P31" s="85">
        <f t="shared" si="4"/>
        <v>36000</v>
      </c>
      <c r="Q31" s="85">
        <f t="shared" si="4"/>
        <v>3000</v>
      </c>
      <c r="R31" s="85">
        <f t="shared" si="4"/>
        <v>3000</v>
      </c>
      <c r="S31" s="85">
        <f t="shared" si="4"/>
        <v>3000</v>
      </c>
      <c r="T31" s="85">
        <f t="shared" si="4"/>
        <v>3000</v>
      </c>
      <c r="U31" s="85">
        <f t="shared" si="4"/>
        <v>3000</v>
      </c>
      <c r="V31" s="85">
        <f t="shared" si="4"/>
        <v>3000</v>
      </c>
      <c r="W31" s="85">
        <f t="shared" si="4"/>
        <v>3000</v>
      </c>
      <c r="X31" s="85">
        <f t="shared" si="4"/>
        <v>3000</v>
      </c>
      <c r="Y31" s="85">
        <f t="shared" si="4"/>
        <v>3000</v>
      </c>
      <c r="Z31" s="85">
        <f t="shared" si="4"/>
        <v>3000</v>
      </c>
      <c r="AA31" s="85">
        <f t="shared" si="4"/>
        <v>3000</v>
      </c>
      <c r="AB31" s="85">
        <f t="shared" si="4"/>
        <v>3000</v>
      </c>
      <c r="AC31" s="85">
        <f t="shared" si="4"/>
        <v>72000</v>
      </c>
      <c r="AD31" s="85">
        <f t="shared" si="4"/>
        <v>6000</v>
      </c>
      <c r="AE31" s="85">
        <f t="shared" si="4"/>
        <v>6000</v>
      </c>
      <c r="AF31" s="85">
        <f t="shared" si="4"/>
        <v>6000</v>
      </c>
      <c r="AG31" s="85">
        <f t="shared" si="4"/>
        <v>6000</v>
      </c>
      <c r="AH31" s="85">
        <f t="shared" si="4"/>
        <v>6000</v>
      </c>
      <c r="AI31" s="85">
        <f t="shared" si="4"/>
        <v>6000</v>
      </c>
      <c r="AJ31" s="85">
        <f t="shared" si="4"/>
        <v>6000</v>
      </c>
      <c r="AK31" s="85">
        <f t="shared" si="4"/>
        <v>6000</v>
      </c>
      <c r="AL31" s="85">
        <f t="shared" si="4"/>
        <v>6000</v>
      </c>
      <c r="AM31" s="85">
        <f t="shared" si="4"/>
        <v>6000</v>
      </c>
      <c r="AN31" s="85">
        <f t="shared" si="4"/>
        <v>6000</v>
      </c>
      <c r="AO31" s="85">
        <f t="shared" si="4"/>
        <v>6000</v>
      </c>
    </row>
    <row r="32" spans="2:41" s="73" customFormat="1" ht="13.5" customHeight="1" x14ac:dyDescent="0.3">
      <c r="B32" s="95" t="str">
        <f>+B13</f>
        <v>c) Social</v>
      </c>
      <c r="C32" s="85">
        <f t="shared" ref="C32:AO32" si="5">+C15</f>
        <v>5000</v>
      </c>
      <c r="D32" s="85">
        <f t="shared" si="5"/>
        <v>416.66666666666669</v>
      </c>
      <c r="E32" s="85">
        <f t="shared" si="5"/>
        <v>416.66666666666669</v>
      </c>
      <c r="F32" s="85">
        <f t="shared" si="5"/>
        <v>416.66666666666669</v>
      </c>
      <c r="G32" s="85">
        <f t="shared" si="5"/>
        <v>416.66666666666669</v>
      </c>
      <c r="H32" s="85">
        <f t="shared" si="5"/>
        <v>416.66666666666669</v>
      </c>
      <c r="I32" s="85">
        <f t="shared" si="5"/>
        <v>416.66666666666669</v>
      </c>
      <c r="J32" s="85">
        <f t="shared" si="5"/>
        <v>416.66666666666669</v>
      </c>
      <c r="K32" s="85">
        <f t="shared" si="5"/>
        <v>416.66666666666669</v>
      </c>
      <c r="L32" s="85">
        <f t="shared" si="5"/>
        <v>416.66666666666669</v>
      </c>
      <c r="M32" s="85">
        <f t="shared" si="5"/>
        <v>416.66666666666669</v>
      </c>
      <c r="N32" s="85">
        <f t="shared" si="5"/>
        <v>416.66666666666669</v>
      </c>
      <c r="O32" s="85">
        <f t="shared" si="5"/>
        <v>416.66666666666669</v>
      </c>
      <c r="P32" s="85">
        <f t="shared" si="5"/>
        <v>10000</v>
      </c>
      <c r="Q32" s="85">
        <f t="shared" si="5"/>
        <v>833.33333333333337</v>
      </c>
      <c r="R32" s="85">
        <f t="shared" si="5"/>
        <v>833.33333333333337</v>
      </c>
      <c r="S32" s="85">
        <f t="shared" si="5"/>
        <v>833.33333333333337</v>
      </c>
      <c r="T32" s="85">
        <f t="shared" si="5"/>
        <v>833.33333333333337</v>
      </c>
      <c r="U32" s="85">
        <f t="shared" si="5"/>
        <v>833.33333333333337</v>
      </c>
      <c r="V32" s="85">
        <f t="shared" si="5"/>
        <v>833.33333333333337</v>
      </c>
      <c r="W32" s="85">
        <f t="shared" si="5"/>
        <v>833.33333333333337</v>
      </c>
      <c r="X32" s="85">
        <f t="shared" si="5"/>
        <v>833.33333333333337</v>
      </c>
      <c r="Y32" s="85">
        <f t="shared" si="5"/>
        <v>833.33333333333337</v>
      </c>
      <c r="Z32" s="85">
        <f t="shared" si="5"/>
        <v>833.33333333333337</v>
      </c>
      <c r="AA32" s="85">
        <f t="shared" si="5"/>
        <v>833.33333333333337</v>
      </c>
      <c r="AB32" s="85">
        <f t="shared" si="5"/>
        <v>833.33333333333337</v>
      </c>
      <c r="AC32" s="85">
        <f t="shared" si="5"/>
        <v>15000</v>
      </c>
      <c r="AD32" s="85">
        <f t="shared" si="5"/>
        <v>1250</v>
      </c>
      <c r="AE32" s="85">
        <f t="shared" si="5"/>
        <v>1250</v>
      </c>
      <c r="AF32" s="85">
        <f t="shared" si="5"/>
        <v>1250</v>
      </c>
      <c r="AG32" s="85">
        <f t="shared" si="5"/>
        <v>1250</v>
      </c>
      <c r="AH32" s="85">
        <f t="shared" si="5"/>
        <v>1250</v>
      </c>
      <c r="AI32" s="85">
        <f t="shared" si="5"/>
        <v>1250</v>
      </c>
      <c r="AJ32" s="85">
        <f t="shared" si="5"/>
        <v>1250</v>
      </c>
      <c r="AK32" s="85">
        <f t="shared" si="5"/>
        <v>1250</v>
      </c>
      <c r="AL32" s="85">
        <f t="shared" si="5"/>
        <v>1250</v>
      </c>
      <c r="AM32" s="85">
        <f t="shared" si="5"/>
        <v>1250</v>
      </c>
      <c r="AN32" s="85">
        <f t="shared" si="5"/>
        <v>1250</v>
      </c>
      <c r="AO32" s="85">
        <f t="shared" si="5"/>
        <v>1250</v>
      </c>
    </row>
    <row r="33" spans="2:41" s="73" customFormat="1" ht="13.5" customHeight="1" x14ac:dyDescent="0.3">
      <c r="B33" s="95" t="str">
        <f>+B17</f>
        <v>d) Juridique</v>
      </c>
      <c r="C33" s="85">
        <f t="shared" ref="C33:AO33" si="6">+C19</f>
        <v>3000</v>
      </c>
      <c r="D33" s="85">
        <f t="shared" si="6"/>
        <v>250</v>
      </c>
      <c r="E33" s="85">
        <f t="shared" si="6"/>
        <v>250</v>
      </c>
      <c r="F33" s="85">
        <f t="shared" si="6"/>
        <v>250</v>
      </c>
      <c r="G33" s="85">
        <f t="shared" si="6"/>
        <v>250</v>
      </c>
      <c r="H33" s="85">
        <f t="shared" si="6"/>
        <v>250</v>
      </c>
      <c r="I33" s="85">
        <f t="shared" si="6"/>
        <v>250</v>
      </c>
      <c r="J33" s="85">
        <f t="shared" si="6"/>
        <v>250</v>
      </c>
      <c r="K33" s="85">
        <f t="shared" si="6"/>
        <v>250</v>
      </c>
      <c r="L33" s="85">
        <f t="shared" si="6"/>
        <v>250</v>
      </c>
      <c r="M33" s="85">
        <f t="shared" si="6"/>
        <v>250</v>
      </c>
      <c r="N33" s="85">
        <f t="shared" si="6"/>
        <v>250</v>
      </c>
      <c r="O33" s="85">
        <f t="shared" si="6"/>
        <v>250</v>
      </c>
      <c r="P33" s="85">
        <f t="shared" si="6"/>
        <v>6000</v>
      </c>
      <c r="Q33" s="85">
        <f t="shared" si="6"/>
        <v>500</v>
      </c>
      <c r="R33" s="85">
        <f t="shared" si="6"/>
        <v>500</v>
      </c>
      <c r="S33" s="85">
        <f t="shared" si="6"/>
        <v>500</v>
      </c>
      <c r="T33" s="85">
        <f t="shared" si="6"/>
        <v>500</v>
      </c>
      <c r="U33" s="85">
        <f t="shared" si="6"/>
        <v>500</v>
      </c>
      <c r="V33" s="85">
        <f t="shared" si="6"/>
        <v>500</v>
      </c>
      <c r="W33" s="85">
        <f t="shared" si="6"/>
        <v>500</v>
      </c>
      <c r="X33" s="85">
        <f t="shared" si="6"/>
        <v>500</v>
      </c>
      <c r="Y33" s="85">
        <f t="shared" si="6"/>
        <v>500</v>
      </c>
      <c r="Z33" s="85">
        <f t="shared" si="6"/>
        <v>500</v>
      </c>
      <c r="AA33" s="85">
        <f t="shared" si="6"/>
        <v>500</v>
      </c>
      <c r="AB33" s="85">
        <f t="shared" si="6"/>
        <v>500</v>
      </c>
      <c r="AC33" s="85">
        <f t="shared" si="6"/>
        <v>18000</v>
      </c>
      <c r="AD33" s="85">
        <f t="shared" si="6"/>
        <v>1500</v>
      </c>
      <c r="AE33" s="85">
        <f t="shared" si="6"/>
        <v>1500</v>
      </c>
      <c r="AF33" s="85">
        <f t="shared" si="6"/>
        <v>1500</v>
      </c>
      <c r="AG33" s="85">
        <f t="shared" si="6"/>
        <v>1500</v>
      </c>
      <c r="AH33" s="85">
        <f t="shared" si="6"/>
        <v>1500</v>
      </c>
      <c r="AI33" s="85">
        <f t="shared" si="6"/>
        <v>1500</v>
      </c>
      <c r="AJ33" s="85">
        <f t="shared" si="6"/>
        <v>1500</v>
      </c>
      <c r="AK33" s="85">
        <f t="shared" si="6"/>
        <v>1500</v>
      </c>
      <c r="AL33" s="85">
        <f t="shared" si="6"/>
        <v>1500</v>
      </c>
      <c r="AM33" s="85">
        <f t="shared" si="6"/>
        <v>1500</v>
      </c>
      <c r="AN33" s="85">
        <f t="shared" si="6"/>
        <v>1500</v>
      </c>
      <c r="AO33" s="85">
        <f t="shared" si="6"/>
        <v>1500</v>
      </c>
    </row>
    <row r="34" spans="2:41" s="73" customFormat="1" ht="13.5" customHeight="1" x14ac:dyDescent="0.3">
      <c r="B34" s="95" t="str">
        <f>+B21</f>
        <v>e) DAF externalisé</v>
      </c>
      <c r="C34" s="85">
        <f t="shared" ref="C34:AO34" si="7">+C23</f>
        <v>25000</v>
      </c>
      <c r="D34" s="85">
        <f t="shared" si="7"/>
        <v>2083.3333333333335</v>
      </c>
      <c r="E34" s="85">
        <f t="shared" si="7"/>
        <v>2083.3333333333335</v>
      </c>
      <c r="F34" s="85">
        <f t="shared" si="7"/>
        <v>2083.3333333333335</v>
      </c>
      <c r="G34" s="85">
        <f t="shared" si="7"/>
        <v>2083.3333333333335</v>
      </c>
      <c r="H34" s="85">
        <f t="shared" si="7"/>
        <v>2083.3333333333335</v>
      </c>
      <c r="I34" s="85">
        <f t="shared" si="7"/>
        <v>2083.3333333333335</v>
      </c>
      <c r="J34" s="85">
        <f t="shared" si="7"/>
        <v>2083.3333333333335</v>
      </c>
      <c r="K34" s="85">
        <f t="shared" si="7"/>
        <v>2083.3333333333335</v>
      </c>
      <c r="L34" s="85">
        <f t="shared" si="7"/>
        <v>2083.3333333333335</v>
      </c>
      <c r="M34" s="85">
        <f t="shared" si="7"/>
        <v>2083.3333333333335</v>
      </c>
      <c r="N34" s="85">
        <f t="shared" si="7"/>
        <v>2083.3333333333335</v>
      </c>
      <c r="O34" s="85">
        <f t="shared" si="7"/>
        <v>2083.3333333333335</v>
      </c>
      <c r="P34" s="85">
        <f t="shared" si="7"/>
        <v>36000</v>
      </c>
      <c r="Q34" s="85">
        <f t="shared" si="7"/>
        <v>3000</v>
      </c>
      <c r="R34" s="85">
        <f t="shared" si="7"/>
        <v>3000</v>
      </c>
      <c r="S34" s="85">
        <f t="shared" si="7"/>
        <v>3000</v>
      </c>
      <c r="T34" s="85">
        <f t="shared" si="7"/>
        <v>3000</v>
      </c>
      <c r="U34" s="85">
        <f t="shared" si="7"/>
        <v>3000</v>
      </c>
      <c r="V34" s="85">
        <f t="shared" si="7"/>
        <v>3000</v>
      </c>
      <c r="W34" s="85">
        <f t="shared" si="7"/>
        <v>3000</v>
      </c>
      <c r="X34" s="85">
        <f t="shared" si="7"/>
        <v>3000</v>
      </c>
      <c r="Y34" s="85">
        <f t="shared" si="7"/>
        <v>3000</v>
      </c>
      <c r="Z34" s="85">
        <f t="shared" si="7"/>
        <v>3000</v>
      </c>
      <c r="AA34" s="85">
        <f t="shared" si="7"/>
        <v>3000</v>
      </c>
      <c r="AB34" s="85">
        <f t="shared" si="7"/>
        <v>3000</v>
      </c>
      <c r="AC34" s="85">
        <f t="shared" si="7"/>
        <v>72000</v>
      </c>
      <c r="AD34" s="85">
        <f t="shared" si="7"/>
        <v>6000</v>
      </c>
      <c r="AE34" s="85">
        <f t="shared" si="7"/>
        <v>6000</v>
      </c>
      <c r="AF34" s="85">
        <f t="shared" si="7"/>
        <v>6000</v>
      </c>
      <c r="AG34" s="85">
        <f t="shared" si="7"/>
        <v>6000</v>
      </c>
      <c r="AH34" s="85">
        <f t="shared" si="7"/>
        <v>6000</v>
      </c>
      <c r="AI34" s="85">
        <f t="shared" si="7"/>
        <v>6000</v>
      </c>
      <c r="AJ34" s="85">
        <f t="shared" si="7"/>
        <v>6000</v>
      </c>
      <c r="AK34" s="85">
        <f t="shared" si="7"/>
        <v>6000</v>
      </c>
      <c r="AL34" s="85">
        <f t="shared" si="7"/>
        <v>6000</v>
      </c>
      <c r="AM34" s="85">
        <f t="shared" si="7"/>
        <v>6000</v>
      </c>
      <c r="AN34" s="85">
        <f t="shared" si="7"/>
        <v>6000</v>
      </c>
      <c r="AO34" s="85">
        <f t="shared" si="7"/>
        <v>6000</v>
      </c>
    </row>
    <row r="35" spans="2:41" s="73" customFormat="1" ht="13.5" customHeight="1" x14ac:dyDescent="0.3">
      <c r="B35" s="95"/>
      <c r="C35" s="8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8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8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</row>
    <row r="36" spans="2:41" s="76" customFormat="1" ht="13.5" customHeight="1" x14ac:dyDescent="0.3">
      <c r="B36" s="96" t="s">
        <v>133</v>
      </c>
      <c r="C36" s="80">
        <f t="shared" ref="C36:AO36" si="8">SUM(C30:C35)</f>
        <v>113000</v>
      </c>
      <c r="D36" s="80">
        <f t="shared" si="8"/>
        <v>9416.6666666666679</v>
      </c>
      <c r="E36" s="80">
        <f t="shared" si="8"/>
        <v>9416.6666666666679</v>
      </c>
      <c r="F36" s="80">
        <f t="shared" si="8"/>
        <v>9416.6666666666679</v>
      </c>
      <c r="G36" s="80">
        <f t="shared" si="8"/>
        <v>9416.6666666666679</v>
      </c>
      <c r="H36" s="80">
        <f t="shared" si="8"/>
        <v>9416.6666666666679</v>
      </c>
      <c r="I36" s="80">
        <f t="shared" si="8"/>
        <v>9416.6666666666679</v>
      </c>
      <c r="J36" s="80">
        <f t="shared" si="8"/>
        <v>9416.6666666666679</v>
      </c>
      <c r="K36" s="80">
        <f t="shared" si="8"/>
        <v>9416.6666666666679</v>
      </c>
      <c r="L36" s="80">
        <f t="shared" si="8"/>
        <v>9416.6666666666679</v>
      </c>
      <c r="M36" s="80">
        <f t="shared" si="8"/>
        <v>9416.6666666666679</v>
      </c>
      <c r="N36" s="80">
        <f t="shared" si="8"/>
        <v>9416.6666666666679</v>
      </c>
      <c r="O36" s="80">
        <f t="shared" si="8"/>
        <v>9416.6666666666679</v>
      </c>
      <c r="P36" s="80">
        <f t="shared" si="8"/>
        <v>248000</v>
      </c>
      <c r="Q36" s="80">
        <f t="shared" si="8"/>
        <v>20666.666666666668</v>
      </c>
      <c r="R36" s="80">
        <f t="shared" si="8"/>
        <v>20666.666666666668</v>
      </c>
      <c r="S36" s="80">
        <f t="shared" si="8"/>
        <v>20666.666666666668</v>
      </c>
      <c r="T36" s="80">
        <f t="shared" si="8"/>
        <v>20666.666666666668</v>
      </c>
      <c r="U36" s="80">
        <f t="shared" si="8"/>
        <v>20666.666666666668</v>
      </c>
      <c r="V36" s="80">
        <f t="shared" si="8"/>
        <v>20666.666666666668</v>
      </c>
      <c r="W36" s="80">
        <f t="shared" si="8"/>
        <v>20666.666666666668</v>
      </c>
      <c r="X36" s="80">
        <f t="shared" si="8"/>
        <v>20666.666666666668</v>
      </c>
      <c r="Y36" s="80">
        <f t="shared" si="8"/>
        <v>20666.666666666668</v>
      </c>
      <c r="Z36" s="80">
        <f t="shared" si="8"/>
        <v>20666.666666666668</v>
      </c>
      <c r="AA36" s="80">
        <f t="shared" si="8"/>
        <v>20666.666666666668</v>
      </c>
      <c r="AB36" s="80">
        <f t="shared" si="8"/>
        <v>20666.666666666668</v>
      </c>
      <c r="AC36" s="80">
        <f t="shared" si="8"/>
        <v>417000</v>
      </c>
      <c r="AD36" s="80">
        <f t="shared" si="8"/>
        <v>34750</v>
      </c>
      <c r="AE36" s="80">
        <f t="shared" si="8"/>
        <v>34750</v>
      </c>
      <c r="AF36" s="80">
        <f t="shared" si="8"/>
        <v>34750</v>
      </c>
      <c r="AG36" s="80">
        <f t="shared" si="8"/>
        <v>34750</v>
      </c>
      <c r="AH36" s="80">
        <f t="shared" si="8"/>
        <v>34750</v>
      </c>
      <c r="AI36" s="80">
        <f t="shared" si="8"/>
        <v>34750</v>
      </c>
      <c r="AJ36" s="80">
        <f t="shared" si="8"/>
        <v>34750</v>
      </c>
      <c r="AK36" s="80">
        <f t="shared" si="8"/>
        <v>34750</v>
      </c>
      <c r="AL36" s="80">
        <f t="shared" si="8"/>
        <v>34750</v>
      </c>
      <c r="AM36" s="80">
        <f t="shared" si="8"/>
        <v>34750</v>
      </c>
      <c r="AN36" s="80">
        <f t="shared" si="8"/>
        <v>34750</v>
      </c>
      <c r="AO36" s="80">
        <f t="shared" si="8"/>
        <v>34750</v>
      </c>
    </row>
    <row r="37" spans="2:41" ht="13.5" customHeight="1" x14ac:dyDescent="0.3">
      <c r="B37" s="39" t="s">
        <v>270</v>
      </c>
      <c r="C37" s="2">
        <f>SUM(D37:O37)</f>
        <v>0</v>
      </c>
      <c r="D37" s="39">
        <f>Bilan!C36</f>
        <v>0</v>
      </c>
      <c r="E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 ht="13.5" customHeight="1" x14ac:dyDescent="0.3">
      <c r="C38" s="97"/>
      <c r="E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 s="98" customFormat="1" ht="13.5" customHeight="1" x14ac:dyDescent="0.3">
      <c r="B39" s="98" t="s">
        <v>271</v>
      </c>
      <c r="C39" s="97"/>
      <c r="D39" s="98">
        <f t="shared" ref="D39:O39" si="9">+(D36-D42)/D36</f>
        <v>0.93628318584070802</v>
      </c>
      <c r="E39" s="98">
        <f t="shared" si="9"/>
        <v>0.93628318584070802</v>
      </c>
      <c r="F39" s="98">
        <f t="shared" si="9"/>
        <v>0.93628318584070802</v>
      </c>
      <c r="G39" s="98">
        <f t="shared" si="9"/>
        <v>0.93628318584070802</v>
      </c>
      <c r="H39" s="98">
        <f t="shared" si="9"/>
        <v>0.93628318584070802</v>
      </c>
      <c r="I39" s="98">
        <f t="shared" si="9"/>
        <v>0.93628318584070802</v>
      </c>
      <c r="J39" s="98">
        <f t="shared" si="9"/>
        <v>0.93628318584070802</v>
      </c>
      <c r="K39" s="98">
        <f t="shared" si="9"/>
        <v>0.93628318584070802</v>
      </c>
      <c r="L39" s="98">
        <f t="shared" si="9"/>
        <v>0.93628318584070802</v>
      </c>
      <c r="M39" s="98">
        <f t="shared" si="9"/>
        <v>0.93628318584070802</v>
      </c>
      <c r="N39" s="98">
        <f t="shared" si="9"/>
        <v>0.93628318584070802</v>
      </c>
      <c r="O39" s="98">
        <f t="shared" si="9"/>
        <v>0.93628318584070802</v>
      </c>
      <c r="P39" s="97"/>
      <c r="Q39" s="98">
        <f t="shared" ref="Q39:AB39" si="10">+(Q36-Q42)/Q36</f>
        <v>0.97096774193548385</v>
      </c>
      <c r="R39" s="98">
        <f t="shared" si="10"/>
        <v>0.97096774193548385</v>
      </c>
      <c r="S39" s="98">
        <f t="shared" si="10"/>
        <v>0.97096774193548385</v>
      </c>
      <c r="T39" s="98">
        <f t="shared" si="10"/>
        <v>0.97096774193548385</v>
      </c>
      <c r="U39" s="98">
        <f t="shared" si="10"/>
        <v>0.97096774193548385</v>
      </c>
      <c r="V39" s="98">
        <f t="shared" si="10"/>
        <v>0.97096774193548385</v>
      </c>
      <c r="W39" s="98">
        <f t="shared" si="10"/>
        <v>0.97096774193548385</v>
      </c>
      <c r="X39" s="98">
        <f t="shared" si="10"/>
        <v>0.97096774193548385</v>
      </c>
      <c r="Y39" s="98">
        <f t="shared" si="10"/>
        <v>0.97096774193548385</v>
      </c>
      <c r="Z39" s="98">
        <f t="shared" si="10"/>
        <v>0.97096774193548385</v>
      </c>
      <c r="AA39" s="98">
        <f t="shared" si="10"/>
        <v>0.97096774193548385</v>
      </c>
      <c r="AB39" s="98">
        <f t="shared" si="10"/>
        <v>0.97096774193548385</v>
      </c>
      <c r="AC39" s="97"/>
      <c r="AD39" s="98">
        <f t="shared" ref="AD39:AO39" si="11">+(AD36-AD42)/AD36</f>
        <v>0.98273381294964024</v>
      </c>
      <c r="AE39" s="98">
        <f t="shared" si="11"/>
        <v>0.98273381294964024</v>
      </c>
      <c r="AF39" s="98">
        <f t="shared" si="11"/>
        <v>0.98273381294964024</v>
      </c>
      <c r="AG39" s="98">
        <f t="shared" si="11"/>
        <v>0.98273381294964024</v>
      </c>
      <c r="AH39" s="98">
        <f t="shared" si="11"/>
        <v>0.98273381294964024</v>
      </c>
      <c r="AI39" s="98">
        <f t="shared" si="11"/>
        <v>0.98273381294964024</v>
      </c>
      <c r="AJ39" s="98">
        <f t="shared" si="11"/>
        <v>0.98273381294964024</v>
      </c>
      <c r="AK39" s="98">
        <f t="shared" si="11"/>
        <v>0.98273381294964024</v>
      </c>
      <c r="AL39" s="98">
        <f t="shared" si="11"/>
        <v>0.98273381294964024</v>
      </c>
      <c r="AM39" s="98">
        <f t="shared" si="11"/>
        <v>0.98273381294964024</v>
      </c>
      <c r="AN39" s="98">
        <f t="shared" si="11"/>
        <v>0.98273381294964024</v>
      </c>
      <c r="AO39" s="98">
        <f t="shared" si="11"/>
        <v>0.98273381294964024</v>
      </c>
    </row>
    <row r="40" spans="2:41" s="99" customFormat="1" ht="13.5" customHeight="1" x14ac:dyDescent="0.3">
      <c r="B40" s="84" t="s">
        <v>272</v>
      </c>
      <c r="C40" s="85">
        <f>SAISIE!C16</f>
        <v>6000</v>
      </c>
      <c r="D40" s="84">
        <f>SAISIE!$C$16/12</f>
        <v>500</v>
      </c>
      <c r="E40" s="84">
        <f>SAISIE!$C$16/12</f>
        <v>500</v>
      </c>
      <c r="F40" s="84">
        <f>SAISIE!$C$16/12</f>
        <v>500</v>
      </c>
      <c r="G40" s="84">
        <f>SAISIE!$C$16/12</f>
        <v>500</v>
      </c>
      <c r="H40" s="84">
        <f>SAISIE!$C$16/12</f>
        <v>500</v>
      </c>
      <c r="I40" s="84">
        <f>SAISIE!$C$16/12</f>
        <v>500</v>
      </c>
      <c r="J40" s="84">
        <f>SAISIE!$C$16/12</f>
        <v>500</v>
      </c>
      <c r="K40" s="84">
        <f>SAISIE!$C$16/12</f>
        <v>500</v>
      </c>
      <c r="L40" s="84">
        <f>SAISIE!$C$16/12</f>
        <v>500</v>
      </c>
      <c r="M40" s="84">
        <f>SAISIE!$C$16/12</f>
        <v>500</v>
      </c>
      <c r="N40" s="84">
        <f>SAISIE!$C$16/12</f>
        <v>500</v>
      </c>
      <c r="O40" s="84">
        <f>SAISIE!$C$16/12</f>
        <v>500</v>
      </c>
      <c r="P40" s="85">
        <f>SAISIE!D16</f>
        <v>6000</v>
      </c>
      <c r="Q40" s="84">
        <f>SAISIE!$D$16/12</f>
        <v>500</v>
      </c>
      <c r="R40" s="84">
        <f>SAISIE!$D$16/12</f>
        <v>500</v>
      </c>
      <c r="S40" s="84">
        <f>SAISIE!$D$16/12</f>
        <v>500</v>
      </c>
      <c r="T40" s="84">
        <f>SAISIE!$D$16/12</f>
        <v>500</v>
      </c>
      <c r="U40" s="84">
        <f>SAISIE!$D$16/12</f>
        <v>500</v>
      </c>
      <c r="V40" s="84">
        <f>SAISIE!$D$16/12</f>
        <v>500</v>
      </c>
      <c r="W40" s="84">
        <f>SAISIE!$D$16/12</f>
        <v>500</v>
      </c>
      <c r="X40" s="84">
        <f>SAISIE!$D$16/12</f>
        <v>500</v>
      </c>
      <c r="Y40" s="84">
        <f>SAISIE!$D$16/12</f>
        <v>500</v>
      </c>
      <c r="Z40" s="84">
        <f>SAISIE!$D$16/12</f>
        <v>500</v>
      </c>
      <c r="AA40" s="84">
        <f>SAISIE!$D$16/12</f>
        <v>500</v>
      </c>
      <c r="AB40" s="84">
        <f>SAISIE!$D$16/12</f>
        <v>500</v>
      </c>
      <c r="AC40" s="85">
        <f>SAISIE!E16</f>
        <v>6000</v>
      </c>
      <c r="AD40" s="84">
        <f>SAISIE!$E$16/12</f>
        <v>500</v>
      </c>
      <c r="AE40" s="84">
        <f>SAISIE!$E$16/12</f>
        <v>500</v>
      </c>
      <c r="AF40" s="84">
        <f>SAISIE!$E$16/12</f>
        <v>500</v>
      </c>
      <c r="AG40" s="84">
        <f>SAISIE!$E$16/12</f>
        <v>500</v>
      </c>
      <c r="AH40" s="84">
        <f>SAISIE!$E$16/12</f>
        <v>500</v>
      </c>
      <c r="AI40" s="84">
        <f>SAISIE!$E$16/12</f>
        <v>500</v>
      </c>
      <c r="AJ40" s="84">
        <f>SAISIE!$E$16/12</f>
        <v>500</v>
      </c>
      <c r="AK40" s="84">
        <f>SAISIE!$E$16/12</f>
        <v>500</v>
      </c>
      <c r="AL40" s="84">
        <f>SAISIE!$E$16/12</f>
        <v>500</v>
      </c>
      <c r="AM40" s="84">
        <f>SAISIE!$E$16/12</f>
        <v>500</v>
      </c>
      <c r="AN40" s="84">
        <f>SAISIE!$E$16/12</f>
        <v>500</v>
      </c>
      <c r="AO40" s="84">
        <f>SAISIE!$E$16/12</f>
        <v>500</v>
      </c>
    </row>
    <row r="41" spans="2:41" s="99" customFormat="1" ht="13.5" customHeight="1" x14ac:dyDescent="0.3">
      <c r="B41" s="84" t="s">
        <v>273</v>
      </c>
      <c r="C41" s="85">
        <f>SAISIE!C17</f>
        <v>1200</v>
      </c>
      <c r="D41" s="84">
        <f>SAISIE!$C$17/12</f>
        <v>100</v>
      </c>
      <c r="E41" s="84">
        <f>SAISIE!$C$17/12</f>
        <v>100</v>
      </c>
      <c r="F41" s="84">
        <f>SAISIE!$C$17/12</f>
        <v>100</v>
      </c>
      <c r="G41" s="84">
        <f>SAISIE!$C$17/12</f>
        <v>100</v>
      </c>
      <c r="H41" s="84">
        <f>SAISIE!$C$17/12</f>
        <v>100</v>
      </c>
      <c r="I41" s="84">
        <f>SAISIE!$C$17/12</f>
        <v>100</v>
      </c>
      <c r="J41" s="84">
        <f>SAISIE!$C$17/12</f>
        <v>100</v>
      </c>
      <c r="K41" s="84">
        <f>SAISIE!$C$17/12</f>
        <v>100</v>
      </c>
      <c r="L41" s="84">
        <f>SAISIE!$C$17/12</f>
        <v>100</v>
      </c>
      <c r="M41" s="84">
        <f>SAISIE!$C$17/12</f>
        <v>100</v>
      </c>
      <c r="N41" s="84">
        <f>SAISIE!$C$17/12</f>
        <v>100</v>
      </c>
      <c r="O41" s="84">
        <f>SAISIE!$C$17/12</f>
        <v>100</v>
      </c>
      <c r="P41" s="85">
        <f>SAISIE!D17</f>
        <v>1200</v>
      </c>
      <c r="Q41" s="84">
        <f>SAISIE!$D$17/12</f>
        <v>100</v>
      </c>
      <c r="R41" s="84">
        <f>SAISIE!$D$17/12</f>
        <v>100</v>
      </c>
      <c r="S41" s="84">
        <f>SAISIE!$D$17/12</f>
        <v>100</v>
      </c>
      <c r="T41" s="84">
        <f>SAISIE!$D$17/12</f>
        <v>100</v>
      </c>
      <c r="U41" s="84">
        <f>SAISIE!$D$17/12</f>
        <v>100</v>
      </c>
      <c r="V41" s="84">
        <f>SAISIE!$D$17/12</f>
        <v>100</v>
      </c>
      <c r="W41" s="84">
        <f>SAISIE!$D$17/12</f>
        <v>100</v>
      </c>
      <c r="X41" s="84">
        <f>SAISIE!$D$17/12</f>
        <v>100</v>
      </c>
      <c r="Y41" s="84">
        <f>SAISIE!$D$17/12</f>
        <v>100</v>
      </c>
      <c r="Z41" s="84">
        <f>SAISIE!$D$17/12</f>
        <v>100</v>
      </c>
      <c r="AA41" s="84">
        <f>SAISIE!$D$17/12</f>
        <v>100</v>
      </c>
      <c r="AB41" s="84">
        <f>SAISIE!$D$17/12</f>
        <v>100</v>
      </c>
      <c r="AC41" s="85">
        <f>SAISIE!E17</f>
        <v>1200</v>
      </c>
      <c r="AD41" s="84">
        <f>SAISIE!$E$17/12</f>
        <v>100</v>
      </c>
      <c r="AE41" s="84">
        <f>SAISIE!$E$17/12</f>
        <v>100</v>
      </c>
      <c r="AF41" s="84">
        <f>SAISIE!$E$17/12</f>
        <v>100</v>
      </c>
      <c r="AG41" s="84">
        <f>SAISIE!$E$17/12</f>
        <v>100</v>
      </c>
      <c r="AH41" s="84">
        <f>SAISIE!$E$17/12</f>
        <v>100</v>
      </c>
      <c r="AI41" s="84">
        <f>SAISIE!$E$17/12</f>
        <v>100</v>
      </c>
      <c r="AJ41" s="84">
        <f>SAISIE!$E$17/12</f>
        <v>100</v>
      </c>
      <c r="AK41" s="84">
        <f>SAISIE!$E$17/12</f>
        <v>100</v>
      </c>
      <c r="AL41" s="84">
        <f>SAISIE!$E$17/12</f>
        <v>100</v>
      </c>
      <c r="AM41" s="84">
        <f>SAISIE!$E$17/12</f>
        <v>100</v>
      </c>
      <c r="AN41" s="84">
        <f>SAISIE!$E$17/12</f>
        <v>100</v>
      </c>
      <c r="AO41" s="84">
        <f>SAISIE!$E$17/12</f>
        <v>100</v>
      </c>
    </row>
    <row r="42" spans="2:41" s="77" customFormat="1" ht="13.5" customHeight="1" x14ac:dyDescent="0.3">
      <c r="B42" s="100" t="s">
        <v>229</v>
      </c>
      <c r="C42" s="100">
        <f t="shared" ref="C42:O42" si="12">SUM(C40:C41)</f>
        <v>7200</v>
      </c>
      <c r="D42" s="100">
        <f t="shared" si="12"/>
        <v>600</v>
      </c>
      <c r="E42" s="100">
        <f t="shared" si="12"/>
        <v>600</v>
      </c>
      <c r="F42" s="100">
        <f t="shared" si="12"/>
        <v>600</v>
      </c>
      <c r="G42" s="100">
        <f t="shared" si="12"/>
        <v>600</v>
      </c>
      <c r="H42" s="100">
        <f t="shared" si="12"/>
        <v>600</v>
      </c>
      <c r="I42" s="100">
        <f t="shared" si="12"/>
        <v>600</v>
      </c>
      <c r="J42" s="100">
        <f t="shared" si="12"/>
        <v>600</v>
      </c>
      <c r="K42" s="100">
        <f t="shared" si="12"/>
        <v>600</v>
      </c>
      <c r="L42" s="100">
        <f t="shared" si="12"/>
        <v>600</v>
      </c>
      <c r="M42" s="100">
        <f t="shared" si="12"/>
        <v>600</v>
      </c>
      <c r="N42" s="100">
        <f t="shared" si="12"/>
        <v>600</v>
      </c>
      <c r="O42" s="100">
        <f t="shared" si="12"/>
        <v>600</v>
      </c>
      <c r="P42" s="100">
        <f>SUM(Q42:AB42)</f>
        <v>7200</v>
      </c>
      <c r="Q42" s="100">
        <f t="shared" ref="Q42:AB42" si="13">SUM(Q40:Q41)</f>
        <v>600</v>
      </c>
      <c r="R42" s="100">
        <f t="shared" si="13"/>
        <v>600</v>
      </c>
      <c r="S42" s="100">
        <f t="shared" si="13"/>
        <v>600</v>
      </c>
      <c r="T42" s="100">
        <f t="shared" si="13"/>
        <v>600</v>
      </c>
      <c r="U42" s="100">
        <f t="shared" si="13"/>
        <v>600</v>
      </c>
      <c r="V42" s="100">
        <f t="shared" si="13"/>
        <v>600</v>
      </c>
      <c r="W42" s="100">
        <f t="shared" si="13"/>
        <v>600</v>
      </c>
      <c r="X42" s="100">
        <f t="shared" si="13"/>
        <v>600</v>
      </c>
      <c r="Y42" s="100">
        <f t="shared" si="13"/>
        <v>600</v>
      </c>
      <c r="Z42" s="100">
        <f t="shared" si="13"/>
        <v>600</v>
      </c>
      <c r="AA42" s="100">
        <f t="shared" si="13"/>
        <v>600</v>
      </c>
      <c r="AB42" s="100">
        <f t="shared" si="13"/>
        <v>600</v>
      </c>
      <c r="AC42" s="100">
        <f>SUM(AD42:AO42)</f>
        <v>7200</v>
      </c>
      <c r="AD42" s="100">
        <f t="shared" ref="AD42:AO42" si="14">SUM(AD40:AD41)</f>
        <v>600</v>
      </c>
      <c r="AE42" s="100">
        <f t="shared" si="14"/>
        <v>600</v>
      </c>
      <c r="AF42" s="100">
        <f t="shared" si="14"/>
        <v>600</v>
      </c>
      <c r="AG42" s="100">
        <f t="shared" si="14"/>
        <v>600</v>
      </c>
      <c r="AH42" s="100">
        <f t="shared" si="14"/>
        <v>600</v>
      </c>
      <c r="AI42" s="100">
        <f t="shared" si="14"/>
        <v>600</v>
      </c>
      <c r="AJ42" s="100">
        <f t="shared" si="14"/>
        <v>600</v>
      </c>
      <c r="AK42" s="100">
        <f t="shared" si="14"/>
        <v>600</v>
      </c>
      <c r="AL42" s="100">
        <f t="shared" si="14"/>
        <v>600</v>
      </c>
      <c r="AM42" s="100">
        <f t="shared" si="14"/>
        <v>600</v>
      </c>
      <c r="AN42" s="100">
        <f t="shared" si="14"/>
        <v>600</v>
      </c>
      <c r="AO42" s="100">
        <f t="shared" si="14"/>
        <v>600</v>
      </c>
    </row>
    <row r="43" spans="2:41" s="77" customFormat="1" ht="13.5" customHeight="1" x14ac:dyDescent="0.3">
      <c r="B43" s="84" t="s">
        <v>274</v>
      </c>
      <c r="C43" s="85">
        <f>SAISIE!C21</f>
        <v>500</v>
      </c>
      <c r="D43" s="84">
        <f>SAISIE!$C$21/12</f>
        <v>41.666666666666664</v>
      </c>
      <c r="E43" s="84">
        <f>SAISIE!$C$21/12</f>
        <v>41.666666666666664</v>
      </c>
      <c r="F43" s="84">
        <f>SAISIE!$C$21/12</f>
        <v>41.666666666666664</v>
      </c>
      <c r="G43" s="84">
        <f>SAISIE!$C$21/12</f>
        <v>41.666666666666664</v>
      </c>
      <c r="H43" s="84">
        <f>SAISIE!$C$21/12</f>
        <v>41.666666666666664</v>
      </c>
      <c r="I43" s="84">
        <f>SAISIE!$C$21/12</f>
        <v>41.666666666666664</v>
      </c>
      <c r="J43" s="84">
        <f>SAISIE!$C$21/12</f>
        <v>41.666666666666664</v>
      </c>
      <c r="K43" s="84">
        <f>SAISIE!$C$21/12</f>
        <v>41.666666666666664</v>
      </c>
      <c r="L43" s="84">
        <f>SAISIE!$C$21/12</f>
        <v>41.666666666666664</v>
      </c>
      <c r="M43" s="84">
        <f>SAISIE!$C$21/12</f>
        <v>41.666666666666664</v>
      </c>
      <c r="N43" s="84">
        <f>SAISIE!$C$21/12</f>
        <v>41.666666666666664</v>
      </c>
      <c r="O43" s="84">
        <f>SAISIE!$C$21/12</f>
        <v>41.666666666666664</v>
      </c>
      <c r="P43" s="85">
        <f>SAISIE!D21</f>
        <v>500</v>
      </c>
      <c r="Q43" s="84">
        <f>SAISIE!$D$21/12</f>
        <v>41.666666666666664</v>
      </c>
      <c r="R43" s="84">
        <f>SAISIE!$D$21/12</f>
        <v>41.666666666666664</v>
      </c>
      <c r="S43" s="84">
        <f>SAISIE!$D$21/12</f>
        <v>41.666666666666664</v>
      </c>
      <c r="T43" s="84">
        <f>SAISIE!$D$21/12</f>
        <v>41.666666666666664</v>
      </c>
      <c r="U43" s="84">
        <f>SAISIE!$D$21/12</f>
        <v>41.666666666666664</v>
      </c>
      <c r="V43" s="84">
        <f>SAISIE!$D$21/12</f>
        <v>41.666666666666664</v>
      </c>
      <c r="W43" s="84">
        <f>SAISIE!$D$21/12</f>
        <v>41.666666666666664</v>
      </c>
      <c r="X43" s="84">
        <f>SAISIE!$D$21/12</f>
        <v>41.666666666666664</v>
      </c>
      <c r="Y43" s="84">
        <f>SAISIE!$D$21/12</f>
        <v>41.666666666666664</v>
      </c>
      <c r="Z43" s="84">
        <f>SAISIE!$D$21/12</f>
        <v>41.666666666666664</v>
      </c>
      <c r="AA43" s="84">
        <f>SAISIE!$D$21/12</f>
        <v>41.666666666666664</v>
      </c>
      <c r="AB43" s="84">
        <f>SAISIE!$D$21/12</f>
        <v>41.666666666666664</v>
      </c>
      <c r="AC43" s="85">
        <f>SAISIE!E21</f>
        <v>500</v>
      </c>
      <c r="AD43" s="84">
        <f>SAISIE!$E$21/12</f>
        <v>41.666666666666664</v>
      </c>
      <c r="AE43" s="84">
        <f>SAISIE!$E$21/12</f>
        <v>41.666666666666664</v>
      </c>
      <c r="AF43" s="84">
        <f>SAISIE!$E$21/12</f>
        <v>41.666666666666664</v>
      </c>
      <c r="AG43" s="84">
        <f>SAISIE!$E$21/12</f>
        <v>41.666666666666664</v>
      </c>
      <c r="AH43" s="84">
        <f>SAISIE!$E$21/12</f>
        <v>41.666666666666664</v>
      </c>
      <c r="AI43" s="84">
        <f>SAISIE!$E$21/12</f>
        <v>41.666666666666664</v>
      </c>
      <c r="AJ43" s="84">
        <f>SAISIE!$E$21/12</f>
        <v>41.666666666666664</v>
      </c>
      <c r="AK43" s="84">
        <f>SAISIE!$E$21/12</f>
        <v>41.666666666666664</v>
      </c>
      <c r="AL43" s="84">
        <f>SAISIE!$E$21/12</f>
        <v>41.666666666666664</v>
      </c>
      <c r="AM43" s="84">
        <f>SAISIE!$E$21/12</f>
        <v>41.666666666666664</v>
      </c>
      <c r="AN43" s="84">
        <f>SAISIE!$E$21/12</f>
        <v>41.666666666666664</v>
      </c>
      <c r="AO43" s="84">
        <f>SAISIE!$E$21/12</f>
        <v>41.666666666666664</v>
      </c>
    </row>
    <row r="44" spans="2:41" s="77" customFormat="1" ht="13.5" customHeight="1" x14ac:dyDescent="0.3">
      <c r="B44" s="84" t="s">
        <v>275</v>
      </c>
      <c r="C44" s="85">
        <f>SAISIE!C22</f>
        <v>2000</v>
      </c>
      <c r="D44" s="84">
        <f>SAISIE!$C$22/12</f>
        <v>166.66666666666666</v>
      </c>
      <c r="E44" s="84">
        <f>SAISIE!$C$22/12</f>
        <v>166.66666666666666</v>
      </c>
      <c r="F44" s="84">
        <f>SAISIE!$C$22/12</f>
        <v>166.66666666666666</v>
      </c>
      <c r="G44" s="84">
        <f>SAISIE!$C$22/12</f>
        <v>166.66666666666666</v>
      </c>
      <c r="H44" s="84">
        <f>SAISIE!$C$22/12</f>
        <v>166.66666666666666</v>
      </c>
      <c r="I44" s="84">
        <f>SAISIE!$C$22/12</f>
        <v>166.66666666666666</v>
      </c>
      <c r="J44" s="84">
        <f>SAISIE!$C$22/12</f>
        <v>166.66666666666666</v>
      </c>
      <c r="K44" s="84">
        <f>SAISIE!$C$22/12</f>
        <v>166.66666666666666</v>
      </c>
      <c r="L44" s="84">
        <f>SAISIE!$C$22/12</f>
        <v>166.66666666666666</v>
      </c>
      <c r="M44" s="84">
        <f>SAISIE!$C$22/12</f>
        <v>166.66666666666666</v>
      </c>
      <c r="N44" s="84">
        <f>SAISIE!$C$22/12</f>
        <v>166.66666666666666</v>
      </c>
      <c r="O44" s="84">
        <f>SAISIE!$C$22/12</f>
        <v>166.66666666666666</v>
      </c>
      <c r="P44" s="85">
        <f>SAISIE!D22</f>
        <v>3000</v>
      </c>
      <c r="Q44" s="84">
        <f>SAISIE!$D$22/12</f>
        <v>250</v>
      </c>
      <c r="R44" s="84">
        <f>SAISIE!$D$22/12</f>
        <v>250</v>
      </c>
      <c r="S44" s="84">
        <f>SAISIE!$D$22/12</f>
        <v>250</v>
      </c>
      <c r="T44" s="84">
        <f>SAISIE!$D$22/12</f>
        <v>250</v>
      </c>
      <c r="U44" s="84">
        <f>SAISIE!$D$22/12</f>
        <v>250</v>
      </c>
      <c r="V44" s="84">
        <f>SAISIE!$D$22/12</f>
        <v>250</v>
      </c>
      <c r="W44" s="84">
        <f>SAISIE!$D$22/12</f>
        <v>250</v>
      </c>
      <c r="X44" s="84">
        <f>SAISIE!$D$22/12</f>
        <v>250</v>
      </c>
      <c r="Y44" s="84">
        <f>SAISIE!$D$22/12</f>
        <v>250</v>
      </c>
      <c r="Z44" s="84">
        <f>SAISIE!$D$22/12</f>
        <v>250</v>
      </c>
      <c r="AA44" s="84">
        <f>SAISIE!$D$22/12</f>
        <v>250</v>
      </c>
      <c r="AB44" s="84">
        <f>SAISIE!$D$22/12</f>
        <v>250</v>
      </c>
      <c r="AC44" s="85">
        <f>SAISIE!E22</f>
        <v>5000</v>
      </c>
      <c r="AD44" s="84">
        <f>SAISIE!$E$22/12</f>
        <v>416.66666666666669</v>
      </c>
      <c r="AE44" s="84">
        <f>SAISIE!$E$22/12</f>
        <v>416.66666666666669</v>
      </c>
      <c r="AF44" s="84">
        <f>SAISIE!$E$22/12</f>
        <v>416.66666666666669</v>
      </c>
      <c r="AG44" s="84">
        <f>SAISIE!$E$22/12</f>
        <v>416.66666666666669</v>
      </c>
      <c r="AH44" s="84">
        <f>SAISIE!$E$22/12</f>
        <v>416.66666666666669</v>
      </c>
      <c r="AI44" s="84">
        <f>SAISIE!$E$22/12</f>
        <v>416.66666666666669</v>
      </c>
      <c r="AJ44" s="84">
        <f>SAISIE!$E$22/12</f>
        <v>416.66666666666669</v>
      </c>
      <c r="AK44" s="84">
        <f>SAISIE!$E$22/12</f>
        <v>416.66666666666669</v>
      </c>
      <c r="AL44" s="84">
        <f>SAISIE!$E$22/12</f>
        <v>416.66666666666669</v>
      </c>
      <c r="AM44" s="84">
        <f>SAISIE!$E$22/12</f>
        <v>416.66666666666669</v>
      </c>
      <c r="AN44" s="84">
        <f>SAISIE!$E$22/12</f>
        <v>416.66666666666669</v>
      </c>
      <c r="AO44" s="84">
        <f>SAISIE!$E$22/12</f>
        <v>416.66666666666669</v>
      </c>
    </row>
    <row r="45" spans="2:41" s="77" customFormat="1" ht="13.5" customHeight="1" x14ac:dyDescent="0.3">
      <c r="B45" s="84" t="s">
        <v>276</v>
      </c>
      <c r="C45" s="85">
        <f>SAISIE!C23</f>
        <v>0</v>
      </c>
      <c r="D45" s="84">
        <f>SAISIE!$C$23/12</f>
        <v>0</v>
      </c>
      <c r="E45" s="84">
        <f>SAISIE!$C$23/12</f>
        <v>0</v>
      </c>
      <c r="F45" s="84">
        <f>SAISIE!$C$23/12</f>
        <v>0</v>
      </c>
      <c r="G45" s="84">
        <f>SAISIE!$C$23/12</f>
        <v>0</v>
      </c>
      <c r="H45" s="84">
        <f>SAISIE!$C$23/12</f>
        <v>0</v>
      </c>
      <c r="I45" s="84">
        <f>SAISIE!$C$23/12</f>
        <v>0</v>
      </c>
      <c r="J45" s="84">
        <f>SAISIE!$C$23/12</f>
        <v>0</v>
      </c>
      <c r="K45" s="84">
        <f>SAISIE!$C$23/12</f>
        <v>0</v>
      </c>
      <c r="L45" s="84">
        <f>SAISIE!$C$23/12</f>
        <v>0</v>
      </c>
      <c r="M45" s="84">
        <f>SAISIE!$C$23/12</f>
        <v>0</v>
      </c>
      <c r="N45" s="84">
        <f>SAISIE!$C$23/12</f>
        <v>0</v>
      </c>
      <c r="O45" s="84">
        <f>SAISIE!$C$23/12</f>
        <v>0</v>
      </c>
      <c r="P45" s="85">
        <f>SAISIE!D23</f>
        <v>0</v>
      </c>
      <c r="Q45" s="84">
        <f>SAISIE!$D$23/12</f>
        <v>0</v>
      </c>
      <c r="R45" s="84">
        <f>SAISIE!$D$23/12</f>
        <v>0</v>
      </c>
      <c r="S45" s="84">
        <f>SAISIE!$D$23/12</f>
        <v>0</v>
      </c>
      <c r="T45" s="84">
        <f>SAISIE!$D$23/12</f>
        <v>0</v>
      </c>
      <c r="U45" s="84">
        <f>SAISIE!$D$23/12</f>
        <v>0</v>
      </c>
      <c r="V45" s="84">
        <f>SAISIE!$D$23/12</f>
        <v>0</v>
      </c>
      <c r="W45" s="84">
        <f>SAISIE!$D$23/12</f>
        <v>0</v>
      </c>
      <c r="X45" s="84">
        <f>SAISIE!$D$23/12</f>
        <v>0</v>
      </c>
      <c r="Y45" s="84">
        <f>SAISIE!$D$23/12</f>
        <v>0</v>
      </c>
      <c r="Z45" s="84">
        <f>SAISIE!$D$23/12</f>
        <v>0</v>
      </c>
      <c r="AA45" s="84">
        <f>SAISIE!$D$23/12</f>
        <v>0</v>
      </c>
      <c r="AB45" s="84">
        <f>SAISIE!$D$23/12</f>
        <v>0</v>
      </c>
      <c r="AC45" s="85">
        <f>SAISIE!E23</f>
        <v>0</v>
      </c>
      <c r="AD45" s="84">
        <f>SAISIE!$E$23/12</f>
        <v>0</v>
      </c>
      <c r="AE45" s="84">
        <f>SAISIE!$E$23/12</f>
        <v>0</v>
      </c>
      <c r="AF45" s="84">
        <f>SAISIE!$E$23/12</f>
        <v>0</v>
      </c>
      <c r="AG45" s="84">
        <f>SAISIE!$E$23/12</f>
        <v>0</v>
      </c>
      <c r="AH45" s="84">
        <f>SAISIE!$E$23/12</f>
        <v>0</v>
      </c>
      <c r="AI45" s="84">
        <f>SAISIE!$E$23/12</f>
        <v>0</v>
      </c>
      <c r="AJ45" s="84">
        <f>SAISIE!$E$23/12</f>
        <v>0</v>
      </c>
      <c r="AK45" s="84">
        <f>SAISIE!$E$23/12</f>
        <v>0</v>
      </c>
      <c r="AL45" s="84">
        <f>SAISIE!$E$23/12</f>
        <v>0</v>
      </c>
      <c r="AM45" s="84">
        <f>SAISIE!$E$23/12</f>
        <v>0</v>
      </c>
      <c r="AN45" s="84">
        <f>SAISIE!$E$23/12</f>
        <v>0</v>
      </c>
      <c r="AO45" s="84">
        <f>SAISIE!$E$23/12</f>
        <v>0</v>
      </c>
    </row>
    <row r="46" spans="2:41" s="77" customFormat="1" ht="13.5" customHeight="1" x14ac:dyDescent="0.3">
      <c r="B46" s="84" t="s">
        <v>277</v>
      </c>
      <c r="C46" s="85">
        <f>SAISIE!C24</f>
        <v>1200</v>
      </c>
      <c r="D46" s="84">
        <f>SAISIE!$C$24/12</f>
        <v>100</v>
      </c>
      <c r="E46" s="84">
        <f>SAISIE!$C$24/12</f>
        <v>100</v>
      </c>
      <c r="F46" s="84">
        <f>SAISIE!$C$24/12</f>
        <v>100</v>
      </c>
      <c r="G46" s="84">
        <f>SAISIE!$C$24/12</f>
        <v>100</v>
      </c>
      <c r="H46" s="84">
        <f>SAISIE!$C$24/12</f>
        <v>100</v>
      </c>
      <c r="I46" s="84">
        <f>SAISIE!$C$24/12</f>
        <v>100</v>
      </c>
      <c r="J46" s="84">
        <f>SAISIE!$C$24/12</f>
        <v>100</v>
      </c>
      <c r="K46" s="84">
        <f>SAISIE!$C$24/12</f>
        <v>100</v>
      </c>
      <c r="L46" s="84">
        <f>SAISIE!$C$24/12</f>
        <v>100</v>
      </c>
      <c r="M46" s="84">
        <f>SAISIE!$C$24/12</f>
        <v>100</v>
      </c>
      <c r="N46" s="84">
        <f>SAISIE!$C$24/12</f>
        <v>100</v>
      </c>
      <c r="O46" s="84">
        <f>SAISIE!$C$24/12</f>
        <v>100</v>
      </c>
      <c r="P46" s="85">
        <f>SAISIE!D24</f>
        <v>1200</v>
      </c>
      <c r="Q46" s="84">
        <f>SAISIE!$D$24/12</f>
        <v>100</v>
      </c>
      <c r="R46" s="84">
        <f>SAISIE!$D$24/12</f>
        <v>100</v>
      </c>
      <c r="S46" s="84">
        <f>SAISIE!$D$24/12</f>
        <v>100</v>
      </c>
      <c r="T46" s="84">
        <f>SAISIE!$D$24/12</f>
        <v>100</v>
      </c>
      <c r="U46" s="84">
        <f>SAISIE!$D$24/12</f>
        <v>100</v>
      </c>
      <c r="V46" s="84">
        <f>SAISIE!$D$24/12</f>
        <v>100</v>
      </c>
      <c r="W46" s="84">
        <f>SAISIE!$D$24/12</f>
        <v>100</v>
      </c>
      <c r="X46" s="84">
        <f>SAISIE!$D$24/12</f>
        <v>100</v>
      </c>
      <c r="Y46" s="84">
        <f>SAISIE!$D$24/12</f>
        <v>100</v>
      </c>
      <c r="Z46" s="84">
        <f>SAISIE!$D$24/12</f>
        <v>100</v>
      </c>
      <c r="AA46" s="84">
        <f>SAISIE!$D$24/12</f>
        <v>100</v>
      </c>
      <c r="AB46" s="84">
        <f>SAISIE!$D$24/12</f>
        <v>100</v>
      </c>
      <c r="AC46" s="85">
        <f>SAISIE!E24</f>
        <v>1200</v>
      </c>
      <c r="AD46" s="84">
        <f>SAISIE!$E$24/12</f>
        <v>100</v>
      </c>
      <c r="AE46" s="84">
        <f>SAISIE!$E$24/12</f>
        <v>100</v>
      </c>
      <c r="AF46" s="84">
        <f>SAISIE!$E$24/12</f>
        <v>100</v>
      </c>
      <c r="AG46" s="84">
        <f>SAISIE!$E$24/12</f>
        <v>100</v>
      </c>
      <c r="AH46" s="84">
        <f>SAISIE!$E$24/12</f>
        <v>100</v>
      </c>
      <c r="AI46" s="84">
        <f>SAISIE!$E$24/12</f>
        <v>100</v>
      </c>
      <c r="AJ46" s="84">
        <f>SAISIE!$E$24/12</f>
        <v>100</v>
      </c>
      <c r="AK46" s="84">
        <f>SAISIE!$E$24/12</f>
        <v>100</v>
      </c>
      <c r="AL46" s="84">
        <f>SAISIE!$E$24/12</f>
        <v>100</v>
      </c>
      <c r="AM46" s="84">
        <f>SAISIE!$E$24/12</f>
        <v>100</v>
      </c>
      <c r="AN46" s="84">
        <f>SAISIE!$E$24/12</f>
        <v>100</v>
      </c>
      <c r="AO46" s="84">
        <f>SAISIE!$E$24/12</f>
        <v>100</v>
      </c>
    </row>
    <row r="47" spans="2:41" s="77" customFormat="1" ht="13.5" customHeight="1" x14ac:dyDescent="0.3">
      <c r="B47" s="84" t="s">
        <v>74</v>
      </c>
      <c r="C47" s="85">
        <f>SAISIE!C25</f>
        <v>600</v>
      </c>
      <c r="D47" s="84">
        <f>SAISIE!$C$25/12</f>
        <v>50</v>
      </c>
      <c r="E47" s="84">
        <f>SAISIE!$C$25/12</f>
        <v>50</v>
      </c>
      <c r="F47" s="84">
        <f>SAISIE!$C$25/12</f>
        <v>50</v>
      </c>
      <c r="G47" s="84">
        <f>SAISIE!$C$25/12</f>
        <v>50</v>
      </c>
      <c r="H47" s="84">
        <f>SAISIE!$C$25/12</f>
        <v>50</v>
      </c>
      <c r="I47" s="84">
        <f>SAISIE!$C$25/12</f>
        <v>50</v>
      </c>
      <c r="J47" s="84">
        <f>SAISIE!$C$25/12</f>
        <v>50</v>
      </c>
      <c r="K47" s="84">
        <f>SAISIE!$C$25/12</f>
        <v>50</v>
      </c>
      <c r="L47" s="84">
        <f>SAISIE!$C$25/12</f>
        <v>50</v>
      </c>
      <c r="M47" s="84">
        <f>SAISIE!$C$25/12</f>
        <v>50</v>
      </c>
      <c r="N47" s="84">
        <f>SAISIE!$C$25/12</f>
        <v>50</v>
      </c>
      <c r="O47" s="84">
        <f>SAISIE!$C$25/12</f>
        <v>50</v>
      </c>
      <c r="P47" s="85">
        <f>SAISIE!D25</f>
        <v>600</v>
      </c>
      <c r="Q47" s="84">
        <f>SAISIE!$D$25/12</f>
        <v>50</v>
      </c>
      <c r="R47" s="84">
        <f>SAISIE!$D$25/12</f>
        <v>50</v>
      </c>
      <c r="S47" s="84">
        <f>SAISIE!$D$25/12</f>
        <v>50</v>
      </c>
      <c r="T47" s="84">
        <f>SAISIE!$D$25/12</f>
        <v>50</v>
      </c>
      <c r="U47" s="84">
        <f>SAISIE!$D$25/12</f>
        <v>50</v>
      </c>
      <c r="V47" s="84">
        <f>SAISIE!$D$25/12</f>
        <v>50</v>
      </c>
      <c r="W47" s="84">
        <f>SAISIE!$D$25/12</f>
        <v>50</v>
      </c>
      <c r="X47" s="84">
        <f>SAISIE!$D$25/12</f>
        <v>50</v>
      </c>
      <c r="Y47" s="84">
        <f>SAISIE!$D$25/12</f>
        <v>50</v>
      </c>
      <c r="Z47" s="84">
        <f>SAISIE!$D$25/12</f>
        <v>50</v>
      </c>
      <c r="AA47" s="84">
        <f>SAISIE!$D$25/12</f>
        <v>50</v>
      </c>
      <c r="AB47" s="84">
        <f>SAISIE!$D$25/12</f>
        <v>50</v>
      </c>
      <c r="AC47" s="85">
        <f>SAISIE!E25</f>
        <v>600</v>
      </c>
      <c r="AD47" s="84">
        <f>SAISIE!$E$25/12</f>
        <v>50</v>
      </c>
      <c r="AE47" s="84">
        <f>SAISIE!$E$25/12</f>
        <v>50</v>
      </c>
      <c r="AF47" s="84">
        <f>SAISIE!$E$25/12</f>
        <v>50</v>
      </c>
      <c r="AG47" s="84">
        <f>SAISIE!$E$25/12</f>
        <v>50</v>
      </c>
      <c r="AH47" s="84">
        <f>SAISIE!$E$25/12</f>
        <v>50</v>
      </c>
      <c r="AI47" s="84">
        <f>SAISIE!$E$25/12</f>
        <v>50</v>
      </c>
      <c r="AJ47" s="84">
        <f>SAISIE!$E$25/12</f>
        <v>50</v>
      </c>
      <c r="AK47" s="84">
        <f>SAISIE!$E$25/12</f>
        <v>50</v>
      </c>
      <c r="AL47" s="84">
        <f>SAISIE!$E$25/12</f>
        <v>50</v>
      </c>
      <c r="AM47" s="84">
        <f>SAISIE!$E$25/12</f>
        <v>50</v>
      </c>
      <c r="AN47" s="84">
        <f>SAISIE!$E$25/12</f>
        <v>50</v>
      </c>
      <c r="AO47" s="84">
        <f>SAISIE!$E$25/12</f>
        <v>50</v>
      </c>
    </row>
    <row r="48" spans="2:41" s="99" customFormat="1" ht="13.5" customHeight="1" x14ac:dyDescent="0.3">
      <c r="B48" s="84" t="s">
        <v>278</v>
      </c>
      <c r="C48" s="85">
        <f>SAISIE!C26</f>
        <v>2400</v>
      </c>
      <c r="D48" s="84">
        <f>SAISIE!$C$26/12</f>
        <v>200</v>
      </c>
      <c r="E48" s="84">
        <f>SAISIE!$C$26/12</f>
        <v>200</v>
      </c>
      <c r="F48" s="84">
        <f>SAISIE!$C$26/12</f>
        <v>200</v>
      </c>
      <c r="G48" s="84">
        <f>SAISIE!$C$26/12</f>
        <v>200</v>
      </c>
      <c r="H48" s="84">
        <f>SAISIE!$C$26/12</f>
        <v>200</v>
      </c>
      <c r="I48" s="84">
        <f>SAISIE!$C$26/12</f>
        <v>200</v>
      </c>
      <c r="J48" s="84">
        <f>SAISIE!$C$26/12</f>
        <v>200</v>
      </c>
      <c r="K48" s="84">
        <f>SAISIE!$C$26/12</f>
        <v>200</v>
      </c>
      <c r="L48" s="84">
        <f>SAISIE!$C$26/12</f>
        <v>200</v>
      </c>
      <c r="M48" s="84">
        <f>SAISIE!$C$26/12</f>
        <v>200</v>
      </c>
      <c r="N48" s="84">
        <f>SAISIE!$C$26/12</f>
        <v>200</v>
      </c>
      <c r="O48" s="84">
        <f>SAISIE!$C$26/12</f>
        <v>200</v>
      </c>
      <c r="P48" s="85">
        <f>SAISIE!D26</f>
        <v>2400</v>
      </c>
      <c r="Q48" s="84">
        <f>SAISIE!$D$26/12</f>
        <v>200</v>
      </c>
      <c r="R48" s="84">
        <f>SAISIE!$D$26/12</f>
        <v>200</v>
      </c>
      <c r="S48" s="84">
        <f>SAISIE!$D$26/12</f>
        <v>200</v>
      </c>
      <c r="T48" s="84">
        <f>SAISIE!$D$26/12</f>
        <v>200</v>
      </c>
      <c r="U48" s="84">
        <f>SAISIE!$D$26/12</f>
        <v>200</v>
      </c>
      <c r="V48" s="84">
        <f>SAISIE!$D$26/12</f>
        <v>200</v>
      </c>
      <c r="W48" s="84">
        <f>SAISIE!$D$26/12</f>
        <v>200</v>
      </c>
      <c r="X48" s="84">
        <f>SAISIE!$D$26/12</f>
        <v>200</v>
      </c>
      <c r="Y48" s="84">
        <f>SAISIE!$D$26/12</f>
        <v>200</v>
      </c>
      <c r="Z48" s="84">
        <f>SAISIE!$D$26/12</f>
        <v>200</v>
      </c>
      <c r="AA48" s="84">
        <f>SAISIE!$D$26/12</f>
        <v>200</v>
      </c>
      <c r="AB48" s="84">
        <f>SAISIE!$D$26/12</f>
        <v>200</v>
      </c>
      <c r="AC48" s="85">
        <f>SAISIE!E26</f>
        <v>2400</v>
      </c>
      <c r="AD48" s="84">
        <f>SAISIE!$E$26/12</f>
        <v>200</v>
      </c>
      <c r="AE48" s="84">
        <f>SAISIE!$E$26/12</f>
        <v>200</v>
      </c>
      <c r="AF48" s="84">
        <f>SAISIE!$E$26/12</f>
        <v>200</v>
      </c>
      <c r="AG48" s="84">
        <f>SAISIE!$E$26/12</f>
        <v>200</v>
      </c>
      <c r="AH48" s="84">
        <f>SAISIE!$E$26/12</f>
        <v>200</v>
      </c>
      <c r="AI48" s="84">
        <f>SAISIE!$E$26/12</f>
        <v>200</v>
      </c>
      <c r="AJ48" s="84">
        <f>SAISIE!$E$26/12</f>
        <v>200</v>
      </c>
      <c r="AK48" s="84">
        <f>SAISIE!$E$26/12</f>
        <v>200</v>
      </c>
      <c r="AL48" s="84">
        <f>SAISIE!$E$26/12</f>
        <v>200</v>
      </c>
      <c r="AM48" s="84">
        <f>SAISIE!$E$26/12</f>
        <v>200</v>
      </c>
      <c r="AN48" s="84">
        <f>SAISIE!$E$26/12</f>
        <v>200</v>
      </c>
      <c r="AO48" s="84">
        <f>SAISIE!$E$26/12</f>
        <v>200</v>
      </c>
    </row>
    <row r="49" spans="2:41" s="99" customFormat="1" ht="13.5" customHeight="1" x14ac:dyDescent="0.3">
      <c r="B49" s="84" t="s">
        <v>78</v>
      </c>
      <c r="C49" s="85">
        <f>SAISIE!C27</f>
        <v>600</v>
      </c>
      <c r="D49" s="84">
        <f>SAISIE!$C$27/12</f>
        <v>50</v>
      </c>
      <c r="E49" s="84">
        <f>SAISIE!$C$27/12</f>
        <v>50</v>
      </c>
      <c r="F49" s="84">
        <f>SAISIE!$C$27/12</f>
        <v>50</v>
      </c>
      <c r="G49" s="84">
        <f>SAISIE!$C$27/12</f>
        <v>50</v>
      </c>
      <c r="H49" s="84">
        <f>SAISIE!$C$27/12</f>
        <v>50</v>
      </c>
      <c r="I49" s="84">
        <f>SAISIE!$C$27/12</f>
        <v>50</v>
      </c>
      <c r="J49" s="84">
        <f>SAISIE!$C$27/12</f>
        <v>50</v>
      </c>
      <c r="K49" s="84">
        <f>SAISIE!$C$27/12</f>
        <v>50</v>
      </c>
      <c r="L49" s="84">
        <f>SAISIE!$C$27/12</f>
        <v>50</v>
      </c>
      <c r="M49" s="84">
        <f>SAISIE!$C$27/12</f>
        <v>50</v>
      </c>
      <c r="N49" s="84">
        <f>SAISIE!$C$27/12</f>
        <v>50</v>
      </c>
      <c r="O49" s="84">
        <f>SAISIE!$C$27/12</f>
        <v>50</v>
      </c>
      <c r="P49" s="85">
        <f>SAISIE!D27</f>
        <v>600</v>
      </c>
      <c r="Q49" s="84">
        <f>SAISIE!$D$27/12</f>
        <v>50</v>
      </c>
      <c r="R49" s="84">
        <f>SAISIE!$D$27/12</f>
        <v>50</v>
      </c>
      <c r="S49" s="84">
        <f>SAISIE!$D$27/12</f>
        <v>50</v>
      </c>
      <c r="T49" s="84">
        <f>SAISIE!$D$27/12</f>
        <v>50</v>
      </c>
      <c r="U49" s="84">
        <f>SAISIE!$D$27/12</f>
        <v>50</v>
      </c>
      <c r="V49" s="84">
        <f>SAISIE!$D$27/12</f>
        <v>50</v>
      </c>
      <c r="W49" s="84">
        <f>SAISIE!$D$27/12</f>
        <v>50</v>
      </c>
      <c r="X49" s="84">
        <f>SAISIE!$D$27/12</f>
        <v>50</v>
      </c>
      <c r="Y49" s="84">
        <f>SAISIE!$D$27/12</f>
        <v>50</v>
      </c>
      <c r="Z49" s="84">
        <f>SAISIE!$D$27/12</f>
        <v>50</v>
      </c>
      <c r="AA49" s="84">
        <f>SAISIE!$D$27/12</f>
        <v>50</v>
      </c>
      <c r="AB49" s="84">
        <f>SAISIE!$D$27/12</f>
        <v>50</v>
      </c>
      <c r="AC49" s="85">
        <f>SAISIE!E27</f>
        <v>600</v>
      </c>
      <c r="AD49" s="84">
        <f>SAISIE!$E$27/12</f>
        <v>50</v>
      </c>
      <c r="AE49" s="84">
        <f>SAISIE!$E$27/12</f>
        <v>50</v>
      </c>
      <c r="AF49" s="84">
        <f>SAISIE!$E$27/12</f>
        <v>50</v>
      </c>
      <c r="AG49" s="84">
        <f>SAISIE!$E$27/12</f>
        <v>50</v>
      </c>
      <c r="AH49" s="84">
        <f>SAISIE!$E$27/12</f>
        <v>50</v>
      </c>
      <c r="AI49" s="84">
        <f>SAISIE!$E$27/12</f>
        <v>50</v>
      </c>
      <c r="AJ49" s="84">
        <f>SAISIE!$E$27/12</f>
        <v>50</v>
      </c>
      <c r="AK49" s="84">
        <f>SAISIE!$E$27/12</f>
        <v>50</v>
      </c>
      <c r="AL49" s="84">
        <f>SAISIE!$E$27/12</f>
        <v>50</v>
      </c>
      <c r="AM49" s="84">
        <f>SAISIE!$E$27/12</f>
        <v>50</v>
      </c>
      <c r="AN49" s="84">
        <f>SAISIE!$E$27/12</f>
        <v>50</v>
      </c>
      <c r="AO49" s="84">
        <f>SAISIE!$E$27/12</f>
        <v>50</v>
      </c>
    </row>
    <row r="50" spans="2:41" s="77" customFormat="1" ht="13.5" customHeight="1" x14ac:dyDescent="0.3">
      <c r="B50" s="84" t="s">
        <v>80</v>
      </c>
      <c r="C50" s="85">
        <f>SAISIE!C28</f>
        <v>1200</v>
      </c>
      <c r="D50" s="84">
        <f>SAISIE!$C$28/12</f>
        <v>100</v>
      </c>
      <c r="E50" s="84">
        <f>SAISIE!$C$28/12</f>
        <v>100</v>
      </c>
      <c r="F50" s="84">
        <f>SAISIE!$C$28/12</f>
        <v>100</v>
      </c>
      <c r="G50" s="84">
        <f>SAISIE!$C$28/12</f>
        <v>100</v>
      </c>
      <c r="H50" s="84">
        <f>SAISIE!$C$28/12</f>
        <v>100</v>
      </c>
      <c r="I50" s="84">
        <f>SAISIE!$C$28/12</f>
        <v>100</v>
      </c>
      <c r="J50" s="84">
        <f>SAISIE!$C$28/12</f>
        <v>100</v>
      </c>
      <c r="K50" s="84">
        <f>SAISIE!$C$28/12</f>
        <v>100</v>
      </c>
      <c r="L50" s="84">
        <f>SAISIE!$C$28/12</f>
        <v>100</v>
      </c>
      <c r="M50" s="84">
        <f>SAISIE!$C$28/12</f>
        <v>100</v>
      </c>
      <c r="N50" s="84">
        <f>SAISIE!$C$28/12</f>
        <v>100</v>
      </c>
      <c r="O50" s="84">
        <f>SAISIE!$C$28/12</f>
        <v>100</v>
      </c>
      <c r="P50" s="85">
        <f>SAISIE!D28</f>
        <v>1200</v>
      </c>
      <c r="Q50" s="84">
        <f>SAISIE!$D$28/12</f>
        <v>100</v>
      </c>
      <c r="R50" s="84">
        <f>SAISIE!$D$28/12</f>
        <v>100</v>
      </c>
      <c r="S50" s="84">
        <f>SAISIE!$D$28/12</f>
        <v>100</v>
      </c>
      <c r="T50" s="84">
        <f>SAISIE!$D$28/12</f>
        <v>100</v>
      </c>
      <c r="U50" s="84">
        <f>SAISIE!$D$28/12</f>
        <v>100</v>
      </c>
      <c r="V50" s="84">
        <f>SAISIE!$D$28/12</f>
        <v>100</v>
      </c>
      <c r="W50" s="84">
        <f>SAISIE!$D$28/12</f>
        <v>100</v>
      </c>
      <c r="X50" s="84">
        <f>SAISIE!$D$28/12</f>
        <v>100</v>
      </c>
      <c r="Y50" s="84">
        <f>SAISIE!$D$28/12</f>
        <v>100</v>
      </c>
      <c r="Z50" s="84">
        <f>SAISIE!$D$28/12</f>
        <v>100</v>
      </c>
      <c r="AA50" s="84">
        <f>SAISIE!$D$28/12</f>
        <v>100</v>
      </c>
      <c r="AB50" s="84">
        <f>SAISIE!$D$28/12</f>
        <v>100</v>
      </c>
      <c r="AC50" s="85">
        <f>SAISIE!E28</f>
        <v>1200</v>
      </c>
      <c r="AD50" s="84">
        <f>SAISIE!$E$28/12</f>
        <v>100</v>
      </c>
      <c r="AE50" s="84">
        <f>SAISIE!$E$28/12</f>
        <v>100</v>
      </c>
      <c r="AF50" s="84">
        <f>SAISIE!$E$28/12</f>
        <v>100</v>
      </c>
      <c r="AG50" s="84">
        <f>SAISIE!$E$28/12</f>
        <v>100</v>
      </c>
      <c r="AH50" s="84">
        <f>SAISIE!$E$28/12</f>
        <v>100</v>
      </c>
      <c r="AI50" s="84">
        <f>SAISIE!$E$28/12</f>
        <v>100</v>
      </c>
      <c r="AJ50" s="84">
        <f>SAISIE!$E$28/12</f>
        <v>100</v>
      </c>
      <c r="AK50" s="84">
        <f>SAISIE!$E$28/12</f>
        <v>100</v>
      </c>
      <c r="AL50" s="84">
        <f>SAISIE!$E$28/12</f>
        <v>100</v>
      </c>
      <c r="AM50" s="84">
        <f>SAISIE!$E$28/12</f>
        <v>100</v>
      </c>
      <c r="AN50" s="84">
        <f>SAISIE!$E$28/12</f>
        <v>100</v>
      </c>
      <c r="AO50" s="84">
        <f>SAISIE!$E$28/12</f>
        <v>100</v>
      </c>
    </row>
    <row r="51" spans="2:41" s="77" customFormat="1" ht="13.5" customHeight="1" x14ac:dyDescent="0.3">
      <c r="B51" s="84" t="s">
        <v>279</v>
      </c>
      <c r="C51" s="85">
        <f>SAISIE!C29</f>
        <v>1800</v>
      </c>
      <c r="D51" s="84">
        <f>SAISIE!$C$29/12</f>
        <v>150</v>
      </c>
      <c r="E51" s="84">
        <f>SAISIE!$C$29/12</f>
        <v>150</v>
      </c>
      <c r="F51" s="84">
        <f>SAISIE!$C$29/12</f>
        <v>150</v>
      </c>
      <c r="G51" s="84">
        <f>SAISIE!$C$29/12</f>
        <v>150</v>
      </c>
      <c r="H51" s="84">
        <f>SAISIE!$C$29/12</f>
        <v>150</v>
      </c>
      <c r="I51" s="84">
        <f>SAISIE!$C$29/12</f>
        <v>150</v>
      </c>
      <c r="J51" s="84">
        <f>SAISIE!$C$29/12</f>
        <v>150</v>
      </c>
      <c r="K51" s="84">
        <f>SAISIE!$C$29/12</f>
        <v>150</v>
      </c>
      <c r="L51" s="84">
        <f>SAISIE!$C$29/12</f>
        <v>150</v>
      </c>
      <c r="M51" s="84">
        <f>SAISIE!$C$29/12</f>
        <v>150</v>
      </c>
      <c r="N51" s="84">
        <f>SAISIE!$C$29/12</f>
        <v>150</v>
      </c>
      <c r="O51" s="84">
        <f>SAISIE!$C$29/12</f>
        <v>150</v>
      </c>
      <c r="P51" s="85">
        <f>SAISIE!D29</f>
        <v>1800</v>
      </c>
      <c r="Q51" s="84">
        <f>SAISIE!$D$29/12</f>
        <v>150</v>
      </c>
      <c r="R51" s="84">
        <f>SAISIE!$D$29/12</f>
        <v>150</v>
      </c>
      <c r="S51" s="84">
        <f>SAISIE!$D$29/12</f>
        <v>150</v>
      </c>
      <c r="T51" s="84">
        <f>SAISIE!$D$29/12</f>
        <v>150</v>
      </c>
      <c r="U51" s="84">
        <f>SAISIE!$D$29/12</f>
        <v>150</v>
      </c>
      <c r="V51" s="84">
        <f>SAISIE!$D$29/12</f>
        <v>150</v>
      </c>
      <c r="W51" s="84">
        <f>SAISIE!$D$29/12</f>
        <v>150</v>
      </c>
      <c r="X51" s="84">
        <f>SAISIE!$D$29/12</f>
        <v>150</v>
      </c>
      <c r="Y51" s="84">
        <f>SAISIE!$D$29/12</f>
        <v>150</v>
      </c>
      <c r="Z51" s="84">
        <f>SAISIE!$D$29/12</f>
        <v>150</v>
      </c>
      <c r="AA51" s="84">
        <f>SAISIE!$D$29/12</f>
        <v>150</v>
      </c>
      <c r="AB51" s="84">
        <f>SAISIE!$D$29/12</f>
        <v>150</v>
      </c>
      <c r="AC51" s="85">
        <f>SAISIE!E29</f>
        <v>1800</v>
      </c>
      <c r="AD51" s="84">
        <f>SAISIE!$E$29/12</f>
        <v>150</v>
      </c>
      <c r="AE51" s="84">
        <f>SAISIE!$E$29/12</f>
        <v>150</v>
      </c>
      <c r="AF51" s="84">
        <f>SAISIE!$E$29/12</f>
        <v>150</v>
      </c>
      <c r="AG51" s="84">
        <f>SAISIE!$E$29/12</f>
        <v>150</v>
      </c>
      <c r="AH51" s="84">
        <f>SAISIE!$E$29/12</f>
        <v>150</v>
      </c>
      <c r="AI51" s="84">
        <f>SAISIE!$E$29/12</f>
        <v>150</v>
      </c>
      <c r="AJ51" s="84">
        <f>SAISIE!$E$29/12</f>
        <v>150</v>
      </c>
      <c r="AK51" s="84">
        <f>SAISIE!$E$29/12</f>
        <v>150</v>
      </c>
      <c r="AL51" s="84">
        <f>SAISIE!$E$29/12</f>
        <v>150</v>
      </c>
      <c r="AM51" s="84">
        <f>SAISIE!$E$29/12</f>
        <v>150</v>
      </c>
      <c r="AN51" s="84">
        <f>SAISIE!$E$29/12</f>
        <v>150</v>
      </c>
      <c r="AO51" s="84">
        <f>SAISIE!$E$29/12</f>
        <v>150</v>
      </c>
    </row>
    <row r="52" spans="2:41" s="77" customFormat="1" ht="13.5" customHeight="1" x14ac:dyDescent="0.3">
      <c r="B52" s="84" t="s">
        <v>84</v>
      </c>
      <c r="C52" s="85">
        <f>SAISIE!C30</f>
        <v>1200</v>
      </c>
      <c r="D52" s="84">
        <f>SAISIE!$C$30/12</f>
        <v>100</v>
      </c>
      <c r="E52" s="84">
        <f>SAISIE!$C$30/12</f>
        <v>100</v>
      </c>
      <c r="F52" s="84">
        <f>SAISIE!$C$30/12</f>
        <v>100</v>
      </c>
      <c r="G52" s="84">
        <f>SAISIE!$C$30/12</f>
        <v>100</v>
      </c>
      <c r="H52" s="84">
        <f>SAISIE!$C$30/12</f>
        <v>100</v>
      </c>
      <c r="I52" s="84">
        <f>SAISIE!$C$30/12</f>
        <v>100</v>
      </c>
      <c r="J52" s="84">
        <f>SAISIE!$C$30/12</f>
        <v>100</v>
      </c>
      <c r="K52" s="84">
        <f>SAISIE!$C$30/12</f>
        <v>100</v>
      </c>
      <c r="L52" s="84">
        <f>SAISIE!$C$30/12</f>
        <v>100</v>
      </c>
      <c r="M52" s="84">
        <f>SAISIE!$C$30/12</f>
        <v>100</v>
      </c>
      <c r="N52" s="84">
        <f>SAISIE!$C$30/12</f>
        <v>100</v>
      </c>
      <c r="O52" s="84">
        <f>SAISIE!$C$30/12</f>
        <v>100</v>
      </c>
      <c r="P52" s="85">
        <f>SAISIE!D30</f>
        <v>1200</v>
      </c>
      <c r="Q52" s="84">
        <f>SAISIE!$D$30/12</f>
        <v>100</v>
      </c>
      <c r="R52" s="84">
        <f>SAISIE!$D$30/12</f>
        <v>100</v>
      </c>
      <c r="S52" s="84">
        <f>SAISIE!$D$30/12</f>
        <v>100</v>
      </c>
      <c r="T52" s="84">
        <f>SAISIE!$D$30/12</f>
        <v>100</v>
      </c>
      <c r="U52" s="84">
        <f>SAISIE!$D$30/12</f>
        <v>100</v>
      </c>
      <c r="V52" s="84">
        <f>SAISIE!$D$30/12</f>
        <v>100</v>
      </c>
      <c r="W52" s="84">
        <f>SAISIE!$D$30/12</f>
        <v>100</v>
      </c>
      <c r="X52" s="84">
        <f>SAISIE!$D$30/12</f>
        <v>100</v>
      </c>
      <c r="Y52" s="84">
        <f>SAISIE!$D$30/12</f>
        <v>100</v>
      </c>
      <c r="Z52" s="84">
        <f>SAISIE!$D$30/12</f>
        <v>100</v>
      </c>
      <c r="AA52" s="84">
        <f>SAISIE!$D$30/12</f>
        <v>100</v>
      </c>
      <c r="AB52" s="84">
        <f>SAISIE!$D$30/12</f>
        <v>100</v>
      </c>
      <c r="AC52" s="85">
        <f>SAISIE!E30</f>
        <v>1200</v>
      </c>
      <c r="AD52" s="84">
        <f>SAISIE!$E$30/12</f>
        <v>100</v>
      </c>
      <c r="AE52" s="84">
        <f>SAISIE!$E$30/12</f>
        <v>100</v>
      </c>
      <c r="AF52" s="84">
        <f>SAISIE!$E$30/12</f>
        <v>100</v>
      </c>
      <c r="AG52" s="84">
        <f>SAISIE!$E$30/12</f>
        <v>100</v>
      </c>
      <c r="AH52" s="84">
        <f>SAISIE!$E$30/12</f>
        <v>100</v>
      </c>
      <c r="AI52" s="84">
        <f>SAISIE!$E$30/12</f>
        <v>100</v>
      </c>
      <c r="AJ52" s="84">
        <f>SAISIE!$E$30/12</f>
        <v>100</v>
      </c>
      <c r="AK52" s="84">
        <f>SAISIE!$E$30/12</f>
        <v>100</v>
      </c>
      <c r="AL52" s="84">
        <f>SAISIE!$E$30/12</f>
        <v>100</v>
      </c>
      <c r="AM52" s="84">
        <f>SAISIE!$E$30/12</f>
        <v>100</v>
      </c>
      <c r="AN52" s="84">
        <f>SAISIE!$E$30/12</f>
        <v>100</v>
      </c>
      <c r="AO52" s="84">
        <f>SAISIE!$E$30/12</f>
        <v>100</v>
      </c>
    </row>
    <row r="53" spans="2:41" s="77" customFormat="1" ht="13.5" customHeight="1" x14ac:dyDescent="0.3">
      <c r="B53" s="100" t="s">
        <v>230</v>
      </c>
      <c r="C53" s="100">
        <f t="shared" ref="C53:AO53" si="15">SUM(C43:C52)</f>
        <v>11500</v>
      </c>
      <c r="D53" s="100">
        <f t="shared" si="15"/>
        <v>958.33333333333326</v>
      </c>
      <c r="E53" s="100">
        <f t="shared" si="15"/>
        <v>958.33333333333326</v>
      </c>
      <c r="F53" s="100">
        <f t="shared" si="15"/>
        <v>958.33333333333326</v>
      </c>
      <c r="G53" s="100">
        <f t="shared" si="15"/>
        <v>958.33333333333326</v>
      </c>
      <c r="H53" s="100">
        <f t="shared" si="15"/>
        <v>958.33333333333326</v>
      </c>
      <c r="I53" s="100">
        <f t="shared" si="15"/>
        <v>958.33333333333326</v>
      </c>
      <c r="J53" s="100">
        <f t="shared" si="15"/>
        <v>958.33333333333326</v>
      </c>
      <c r="K53" s="100">
        <f t="shared" si="15"/>
        <v>958.33333333333326</v>
      </c>
      <c r="L53" s="100">
        <f t="shared" si="15"/>
        <v>958.33333333333326</v>
      </c>
      <c r="M53" s="100">
        <f t="shared" si="15"/>
        <v>958.33333333333326</v>
      </c>
      <c r="N53" s="100">
        <f t="shared" si="15"/>
        <v>958.33333333333326</v>
      </c>
      <c r="O53" s="100">
        <f t="shared" si="15"/>
        <v>958.33333333333326</v>
      </c>
      <c r="P53" s="100">
        <f t="shared" si="15"/>
        <v>12500</v>
      </c>
      <c r="Q53" s="100">
        <f t="shared" si="15"/>
        <v>1041.6666666666667</v>
      </c>
      <c r="R53" s="100">
        <f t="shared" si="15"/>
        <v>1041.6666666666667</v>
      </c>
      <c r="S53" s="100">
        <f t="shared" si="15"/>
        <v>1041.6666666666667</v>
      </c>
      <c r="T53" s="100">
        <f t="shared" si="15"/>
        <v>1041.6666666666667</v>
      </c>
      <c r="U53" s="100">
        <f t="shared" si="15"/>
        <v>1041.6666666666667</v>
      </c>
      <c r="V53" s="100">
        <f t="shared" si="15"/>
        <v>1041.6666666666667</v>
      </c>
      <c r="W53" s="100">
        <f t="shared" si="15"/>
        <v>1041.6666666666667</v>
      </c>
      <c r="X53" s="100">
        <f t="shared" si="15"/>
        <v>1041.6666666666667</v>
      </c>
      <c r="Y53" s="100">
        <f t="shared" si="15"/>
        <v>1041.6666666666667</v>
      </c>
      <c r="Z53" s="100">
        <f t="shared" si="15"/>
        <v>1041.6666666666667</v>
      </c>
      <c r="AA53" s="100">
        <f t="shared" si="15"/>
        <v>1041.6666666666667</v>
      </c>
      <c r="AB53" s="100">
        <f t="shared" si="15"/>
        <v>1041.6666666666667</v>
      </c>
      <c r="AC53" s="100">
        <f t="shared" si="15"/>
        <v>14500</v>
      </c>
      <c r="AD53" s="100">
        <f t="shared" si="15"/>
        <v>1208.3333333333335</v>
      </c>
      <c r="AE53" s="100">
        <f t="shared" si="15"/>
        <v>1208.3333333333335</v>
      </c>
      <c r="AF53" s="100">
        <f t="shared" si="15"/>
        <v>1208.3333333333335</v>
      </c>
      <c r="AG53" s="100">
        <f t="shared" si="15"/>
        <v>1208.3333333333335</v>
      </c>
      <c r="AH53" s="100">
        <f t="shared" si="15"/>
        <v>1208.3333333333335</v>
      </c>
      <c r="AI53" s="100">
        <f t="shared" si="15"/>
        <v>1208.3333333333335</v>
      </c>
      <c r="AJ53" s="100">
        <f t="shared" si="15"/>
        <v>1208.3333333333335</v>
      </c>
      <c r="AK53" s="100">
        <f t="shared" si="15"/>
        <v>1208.3333333333335</v>
      </c>
      <c r="AL53" s="100">
        <f t="shared" si="15"/>
        <v>1208.3333333333335</v>
      </c>
      <c r="AM53" s="100">
        <f t="shared" si="15"/>
        <v>1208.3333333333335</v>
      </c>
      <c r="AN53" s="100">
        <f t="shared" si="15"/>
        <v>1208.3333333333335</v>
      </c>
      <c r="AO53" s="100">
        <f t="shared" si="15"/>
        <v>1208.3333333333335</v>
      </c>
    </row>
    <row r="54" spans="2:41" s="77" customFormat="1" ht="3" customHeight="1" x14ac:dyDescent="0.3">
      <c r="B54" s="84"/>
      <c r="C54" s="85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5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5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</row>
    <row r="55" spans="2:41" s="77" customFormat="1" ht="13.5" customHeight="1" x14ac:dyDescent="0.3">
      <c r="B55" s="100" t="s">
        <v>280</v>
      </c>
      <c r="C55" s="100">
        <f>SAISIE!C34</f>
        <v>25000</v>
      </c>
      <c r="D55" s="100">
        <f>SAISIE!$C$34/12</f>
        <v>2083.3333333333335</v>
      </c>
      <c r="E55" s="100">
        <f>SAISIE!$C$34/12</f>
        <v>2083.3333333333335</v>
      </c>
      <c r="F55" s="100">
        <f>SAISIE!$C$34/12</f>
        <v>2083.3333333333335</v>
      </c>
      <c r="G55" s="100">
        <f>SAISIE!$C$34/12</f>
        <v>2083.3333333333335</v>
      </c>
      <c r="H55" s="100">
        <f>SAISIE!$C$34/12</f>
        <v>2083.3333333333335</v>
      </c>
      <c r="I55" s="100">
        <f>SAISIE!$C$34/12</f>
        <v>2083.3333333333335</v>
      </c>
      <c r="J55" s="100">
        <f>SAISIE!$C$34/12</f>
        <v>2083.3333333333335</v>
      </c>
      <c r="K55" s="100">
        <f>SAISIE!$C$34/12</f>
        <v>2083.3333333333335</v>
      </c>
      <c r="L55" s="100">
        <f>SAISIE!$C$34/12</f>
        <v>2083.3333333333335</v>
      </c>
      <c r="M55" s="100">
        <f>SAISIE!$C$34/12</f>
        <v>2083.3333333333335</v>
      </c>
      <c r="N55" s="100">
        <f>SAISIE!$C$34/12</f>
        <v>2083.3333333333335</v>
      </c>
      <c r="O55" s="100">
        <f>SAISIE!$C$34/12</f>
        <v>2083.3333333333335</v>
      </c>
      <c r="P55" s="100">
        <f>SAISIE!D34</f>
        <v>45000</v>
      </c>
      <c r="Q55" s="100">
        <f>SAISIE!$D$34/12</f>
        <v>3750</v>
      </c>
      <c r="R55" s="100">
        <f>SAISIE!$D$34/12</f>
        <v>3750</v>
      </c>
      <c r="S55" s="100">
        <f>SAISIE!$D$34/12</f>
        <v>3750</v>
      </c>
      <c r="T55" s="100">
        <f>SAISIE!$D$34/12</f>
        <v>3750</v>
      </c>
      <c r="U55" s="100">
        <f>SAISIE!$D$34/12</f>
        <v>3750</v>
      </c>
      <c r="V55" s="100">
        <f>SAISIE!$D$34/12</f>
        <v>3750</v>
      </c>
      <c r="W55" s="100">
        <f>SAISIE!$D$34/12</f>
        <v>3750</v>
      </c>
      <c r="X55" s="100">
        <f>SAISIE!$D$34/12</f>
        <v>3750</v>
      </c>
      <c r="Y55" s="100">
        <f>SAISIE!$D$34/12</f>
        <v>3750</v>
      </c>
      <c r="Z55" s="100">
        <f>SAISIE!$D$34/12</f>
        <v>3750</v>
      </c>
      <c r="AA55" s="100">
        <f>SAISIE!$D$34/12</f>
        <v>3750</v>
      </c>
      <c r="AB55" s="100">
        <f>SAISIE!$D$34/12</f>
        <v>3750</v>
      </c>
      <c r="AC55" s="100">
        <f>SAISIE!E34</f>
        <v>80000</v>
      </c>
      <c r="AD55" s="100">
        <f>SAISIE!$E$34/12</f>
        <v>6666.666666666667</v>
      </c>
      <c r="AE55" s="100">
        <f>SAISIE!$E$34/12</f>
        <v>6666.666666666667</v>
      </c>
      <c r="AF55" s="100">
        <f>SAISIE!$E$34/12</f>
        <v>6666.666666666667</v>
      </c>
      <c r="AG55" s="100">
        <f>SAISIE!$E$34/12</f>
        <v>6666.666666666667</v>
      </c>
      <c r="AH55" s="100">
        <f>SAISIE!$E$34/12</f>
        <v>6666.666666666667</v>
      </c>
      <c r="AI55" s="100">
        <f>SAISIE!$E$34/12</f>
        <v>6666.666666666667</v>
      </c>
      <c r="AJ55" s="100">
        <f>SAISIE!$E$34/12</f>
        <v>6666.666666666667</v>
      </c>
      <c r="AK55" s="100">
        <f>SAISIE!$E$34/12</f>
        <v>6666.666666666667</v>
      </c>
      <c r="AL55" s="100">
        <f>SAISIE!$E$34/12</f>
        <v>6666.666666666667</v>
      </c>
      <c r="AM55" s="100">
        <f>SAISIE!$E$34/12</f>
        <v>6666.666666666667</v>
      </c>
      <c r="AN55" s="100">
        <f>SAISIE!$E$34/12</f>
        <v>6666.666666666667</v>
      </c>
      <c r="AO55" s="100">
        <f>SAISIE!$E$34/12</f>
        <v>6666.666666666667</v>
      </c>
    </row>
    <row r="56" spans="2:41" s="75" customFormat="1" ht="13.5" customHeight="1" x14ac:dyDescent="0.3">
      <c r="B56" s="100" t="s">
        <v>281</v>
      </c>
      <c r="C56" s="100">
        <f>SAISIE!C57</f>
        <v>600</v>
      </c>
      <c r="D56" s="100">
        <f>SAISIE!$C$57/12</f>
        <v>50</v>
      </c>
      <c r="E56" s="100">
        <f>SAISIE!$C$57/12</f>
        <v>50</v>
      </c>
      <c r="F56" s="100">
        <f>SAISIE!$C$57/12</f>
        <v>50</v>
      </c>
      <c r="G56" s="100">
        <f>SAISIE!$C$57/12</f>
        <v>50</v>
      </c>
      <c r="H56" s="100">
        <f>SAISIE!$C$57/12</f>
        <v>50</v>
      </c>
      <c r="I56" s="100">
        <f>SAISIE!$C$57/12</f>
        <v>50</v>
      </c>
      <c r="J56" s="100">
        <f>SAISIE!$C$57/12</f>
        <v>50</v>
      </c>
      <c r="K56" s="100">
        <f>SAISIE!$C$57/12</f>
        <v>50</v>
      </c>
      <c r="L56" s="100">
        <f>SAISIE!$C$57/12</f>
        <v>50</v>
      </c>
      <c r="M56" s="100">
        <f>SAISIE!$C$57/12</f>
        <v>50</v>
      </c>
      <c r="N56" s="100">
        <f>SAISIE!$C$57/12</f>
        <v>50</v>
      </c>
      <c r="O56" s="100">
        <f>SAISIE!$C$57/12</f>
        <v>50</v>
      </c>
      <c r="P56" s="100">
        <f>SAISIE!D57</f>
        <v>600</v>
      </c>
      <c r="Q56" s="100">
        <f>SAISIE!$D$57/12</f>
        <v>50</v>
      </c>
      <c r="R56" s="100">
        <f>SAISIE!$D$57/12</f>
        <v>50</v>
      </c>
      <c r="S56" s="100">
        <f>SAISIE!$D$57/12</f>
        <v>50</v>
      </c>
      <c r="T56" s="100">
        <f>SAISIE!$D$57/12</f>
        <v>50</v>
      </c>
      <c r="U56" s="100">
        <f>SAISIE!$D$57/12</f>
        <v>50</v>
      </c>
      <c r="V56" s="100">
        <f>SAISIE!$D$57/12</f>
        <v>50</v>
      </c>
      <c r="W56" s="100">
        <f>SAISIE!$D$57/12</f>
        <v>50</v>
      </c>
      <c r="X56" s="100">
        <f>SAISIE!$D$57/12</f>
        <v>50</v>
      </c>
      <c r="Y56" s="100">
        <f>SAISIE!$D$57/12</f>
        <v>50</v>
      </c>
      <c r="Z56" s="100">
        <f>SAISIE!$D$57/12</f>
        <v>50</v>
      </c>
      <c r="AA56" s="100">
        <f>SAISIE!$D$57/12</f>
        <v>50</v>
      </c>
      <c r="AB56" s="100">
        <f>SAISIE!$D$57/12</f>
        <v>50</v>
      </c>
      <c r="AC56" s="100">
        <f>SAISIE!E57</f>
        <v>600</v>
      </c>
      <c r="AD56" s="100">
        <f>SAISIE!$E$57/12</f>
        <v>50</v>
      </c>
      <c r="AE56" s="100">
        <f>SAISIE!$E$57/12</f>
        <v>50</v>
      </c>
      <c r="AF56" s="100">
        <f>SAISIE!$E$57/12</f>
        <v>50</v>
      </c>
      <c r="AG56" s="100">
        <f>SAISIE!$E$57/12</f>
        <v>50</v>
      </c>
      <c r="AH56" s="100">
        <f>SAISIE!$E$57/12</f>
        <v>50</v>
      </c>
      <c r="AI56" s="100">
        <f>SAISIE!$E$57/12</f>
        <v>50</v>
      </c>
      <c r="AJ56" s="100">
        <f>SAISIE!$E$57/12</f>
        <v>50</v>
      </c>
      <c r="AK56" s="100">
        <f>SAISIE!$E$57/12</f>
        <v>50</v>
      </c>
      <c r="AL56" s="100">
        <f>SAISIE!$E$57/12</f>
        <v>50</v>
      </c>
      <c r="AM56" s="100">
        <f>SAISIE!$E$57/12</f>
        <v>50</v>
      </c>
      <c r="AN56" s="100">
        <f>SAISIE!$E$57/12</f>
        <v>50</v>
      </c>
      <c r="AO56" s="100">
        <f>SAISIE!$E$57/12</f>
        <v>50</v>
      </c>
    </row>
    <row r="57" spans="2:41" s="75" customFormat="1" ht="13.5" customHeight="1" x14ac:dyDescent="0.3">
      <c r="B57" s="100" t="s">
        <v>257</v>
      </c>
      <c r="C57" s="100">
        <f>SUM(D57:O57)</f>
        <v>30000</v>
      </c>
      <c r="D57" s="100">
        <f>+Personnel!F17</f>
        <v>2500</v>
      </c>
      <c r="E57" s="100">
        <f>Personnel!G17</f>
        <v>2500</v>
      </c>
      <c r="F57" s="100">
        <f>Personnel!H17</f>
        <v>2500</v>
      </c>
      <c r="G57" s="100">
        <f>Personnel!I17</f>
        <v>2500</v>
      </c>
      <c r="H57" s="100">
        <f>Personnel!J17</f>
        <v>2500</v>
      </c>
      <c r="I57" s="100">
        <f>Personnel!K17</f>
        <v>2500</v>
      </c>
      <c r="J57" s="100">
        <f>Personnel!L17</f>
        <v>2500</v>
      </c>
      <c r="K57" s="100">
        <f>Personnel!M17</f>
        <v>2500</v>
      </c>
      <c r="L57" s="100">
        <f>Personnel!N17</f>
        <v>2500</v>
      </c>
      <c r="M57" s="100">
        <f>Personnel!O17</f>
        <v>2500</v>
      </c>
      <c r="N57" s="100">
        <f>Personnel!P17</f>
        <v>2500</v>
      </c>
      <c r="O57" s="100">
        <f>Personnel!Q17</f>
        <v>2500</v>
      </c>
      <c r="P57" s="100">
        <f>SUM(Q57:AB57)</f>
        <v>74400</v>
      </c>
      <c r="Q57" s="100">
        <f>Personnel!U17</f>
        <v>6200</v>
      </c>
      <c r="R57" s="100">
        <f>Personnel!V17</f>
        <v>6200</v>
      </c>
      <c r="S57" s="100">
        <f>Personnel!W17</f>
        <v>6200</v>
      </c>
      <c r="T57" s="100">
        <f>Personnel!X17</f>
        <v>6200</v>
      </c>
      <c r="U57" s="100">
        <f>Personnel!Y17</f>
        <v>6200</v>
      </c>
      <c r="V57" s="100">
        <f>Personnel!Z17</f>
        <v>6200</v>
      </c>
      <c r="W57" s="100">
        <f>Personnel!AA17</f>
        <v>6200</v>
      </c>
      <c r="X57" s="100">
        <f>Personnel!AB17</f>
        <v>6200</v>
      </c>
      <c r="Y57" s="100">
        <f>Personnel!AC17</f>
        <v>6200</v>
      </c>
      <c r="Z57" s="100">
        <f>Personnel!AD17</f>
        <v>6200</v>
      </c>
      <c r="AA57" s="100">
        <f>Personnel!AE17</f>
        <v>6200</v>
      </c>
      <c r="AB57" s="100">
        <f>Personnel!AF17</f>
        <v>6200</v>
      </c>
      <c r="AC57" s="100">
        <f>SUM(AD57:AO57)</f>
        <v>128400</v>
      </c>
      <c r="AD57" s="100">
        <f>Personnel!AJ17</f>
        <v>10700</v>
      </c>
      <c r="AE57" s="100">
        <f>Personnel!AK17</f>
        <v>10700</v>
      </c>
      <c r="AF57" s="100">
        <f>Personnel!AL17</f>
        <v>10700</v>
      </c>
      <c r="AG57" s="100">
        <f>Personnel!AM17</f>
        <v>10700</v>
      </c>
      <c r="AH57" s="100">
        <f>Personnel!AN17</f>
        <v>10700</v>
      </c>
      <c r="AI57" s="100">
        <f>Personnel!AO17</f>
        <v>10700</v>
      </c>
      <c r="AJ57" s="100">
        <f>Personnel!AP17</f>
        <v>10700</v>
      </c>
      <c r="AK57" s="100">
        <f>Personnel!AQ17</f>
        <v>10700</v>
      </c>
      <c r="AL57" s="100">
        <f>Personnel!AR17</f>
        <v>10700</v>
      </c>
      <c r="AM57" s="100">
        <f>Personnel!AS17</f>
        <v>10700</v>
      </c>
      <c r="AN57" s="100">
        <f>Personnel!AT17</f>
        <v>10700</v>
      </c>
      <c r="AO57" s="100">
        <f>Personnel!AU17</f>
        <v>10700</v>
      </c>
    </row>
    <row r="58" spans="2:41" s="75" customFormat="1" ht="13.5" customHeight="1" x14ac:dyDescent="0.3">
      <c r="B58" s="100" t="s">
        <v>258</v>
      </c>
      <c r="C58" s="100">
        <f>SUM(D58:O58)</f>
        <v>23850</v>
      </c>
      <c r="D58" s="100">
        <f>D57*42%+SAISIE!$C$34/12*SAISIE!$C$61</f>
        <v>1987.5</v>
      </c>
      <c r="E58" s="100">
        <f>E57*42%+SAISIE!$C$34/12*SAISIE!$C$61</f>
        <v>1987.5</v>
      </c>
      <c r="F58" s="100">
        <f>F57*42%+SAISIE!$C$34/12*SAISIE!$C$61</f>
        <v>1987.5</v>
      </c>
      <c r="G58" s="100">
        <f>G57*42%+SAISIE!$C$34/12*SAISIE!$C$61</f>
        <v>1987.5</v>
      </c>
      <c r="H58" s="100">
        <f>H57*42%+SAISIE!$C$34/12*SAISIE!$C$61</f>
        <v>1987.5</v>
      </c>
      <c r="I58" s="100">
        <f>I57*42%+SAISIE!$C$34/12*SAISIE!$C$61</f>
        <v>1987.5</v>
      </c>
      <c r="J58" s="100">
        <f>J57*42%+SAISIE!$C$34/12*SAISIE!$C$61</f>
        <v>1987.5</v>
      </c>
      <c r="K58" s="100">
        <f>K57*42%+SAISIE!$C$34/12*SAISIE!$C$61</f>
        <v>1987.5</v>
      </c>
      <c r="L58" s="100">
        <f>L57*42%+SAISIE!$C$34/12*SAISIE!$C$61</f>
        <v>1987.5</v>
      </c>
      <c r="M58" s="100">
        <f>M57*42%+SAISIE!$C$34/12*SAISIE!$C$61</f>
        <v>1987.5</v>
      </c>
      <c r="N58" s="100">
        <f>N57*42%+SAISIE!$C$34/12*SAISIE!$C$61</f>
        <v>1987.5</v>
      </c>
      <c r="O58" s="100">
        <f>O57*42%+SAISIE!$C$34/12*SAISIE!$C$61</f>
        <v>1987.5</v>
      </c>
      <c r="P58" s="100">
        <f>SUM(Q58:AB58)</f>
        <v>51498</v>
      </c>
      <c r="Q58" s="100">
        <f>Q57*42%+SAISIE!$D$34/12*SAISIE!$D$61</f>
        <v>4291.5</v>
      </c>
      <c r="R58" s="100">
        <f>R57*42%+SAISIE!$D$34/12*SAISIE!$D$61</f>
        <v>4291.5</v>
      </c>
      <c r="S58" s="100">
        <f>S57*42%+SAISIE!$D$34/12*SAISIE!$D$61</f>
        <v>4291.5</v>
      </c>
      <c r="T58" s="100">
        <f>T57*42%+SAISIE!$D$34/12*SAISIE!$D$61</f>
        <v>4291.5</v>
      </c>
      <c r="U58" s="100">
        <f>U57*42%+SAISIE!$D$34/12*SAISIE!$D$61</f>
        <v>4291.5</v>
      </c>
      <c r="V58" s="100">
        <f>V57*42%+SAISIE!$D$34/12*SAISIE!$D$61</f>
        <v>4291.5</v>
      </c>
      <c r="W58" s="100">
        <f>W57*42%+SAISIE!$D$34/12*SAISIE!$D$61</f>
        <v>4291.5</v>
      </c>
      <c r="X58" s="100">
        <f>X57*42%+SAISIE!$D$34/12*SAISIE!$D$61</f>
        <v>4291.5</v>
      </c>
      <c r="Y58" s="100">
        <f>Y57*42%+SAISIE!$D$34/12*SAISIE!$D$61</f>
        <v>4291.5</v>
      </c>
      <c r="Z58" s="100">
        <f>Z57*42%+SAISIE!$D$34/12*SAISIE!$D$61</f>
        <v>4291.5</v>
      </c>
      <c r="AA58" s="100">
        <f>AA57*42%+SAISIE!$D$34/12*SAISIE!$D$61</f>
        <v>4291.5</v>
      </c>
      <c r="AB58" s="100">
        <f>AB57*42%+SAISIE!$D$34/12*SAISIE!$D$61</f>
        <v>4291.5</v>
      </c>
      <c r="AC58" s="100">
        <f>SUM(AD58:AO58)</f>
        <v>89928</v>
      </c>
      <c r="AD58" s="100">
        <f>AD57*42%+SAISIE!$E$34/12*SAISIE!$E$61</f>
        <v>7494</v>
      </c>
      <c r="AE58" s="100">
        <f>AE57*42%+SAISIE!$E$34/12*SAISIE!$E$61</f>
        <v>7494</v>
      </c>
      <c r="AF58" s="100">
        <f>AF57*42%+SAISIE!$E$34/12*SAISIE!$E$61</f>
        <v>7494</v>
      </c>
      <c r="AG58" s="100">
        <f>AG57*42%+SAISIE!$E$34/12*SAISIE!$E$61</f>
        <v>7494</v>
      </c>
      <c r="AH58" s="100">
        <f>AH57*42%+SAISIE!$E$34/12*SAISIE!$E$61</f>
        <v>7494</v>
      </c>
      <c r="AI58" s="100">
        <f>AI57*42%+SAISIE!$E$34/12*SAISIE!$E$61</f>
        <v>7494</v>
      </c>
      <c r="AJ58" s="100">
        <f>AJ57*42%+SAISIE!$E$34/12*SAISIE!$E$61</f>
        <v>7494</v>
      </c>
      <c r="AK58" s="100">
        <f>AK57*42%+SAISIE!$E$34/12*SAISIE!$E$61</f>
        <v>7494</v>
      </c>
      <c r="AL58" s="100">
        <f>AL57*42%+SAISIE!$E$34/12*SAISIE!$E$61</f>
        <v>7494</v>
      </c>
      <c r="AM58" s="100">
        <f>AM57*42%+SAISIE!$E$34/12*SAISIE!$E$61</f>
        <v>7494</v>
      </c>
      <c r="AN58" s="100">
        <f>AN57*42%+SAISIE!$E$34/12*SAISIE!$E$61</f>
        <v>7494</v>
      </c>
      <c r="AO58" s="100">
        <f>AO57*42%+SAISIE!$E$34/12*SAISIE!$E$61</f>
        <v>7494</v>
      </c>
    </row>
    <row r="59" spans="2:41" s="75" customFormat="1" ht="13.5" customHeight="1" x14ac:dyDescent="0.3">
      <c r="B59" s="100" t="s">
        <v>282</v>
      </c>
      <c r="C59" s="100">
        <f>SUM(D59:O59)</f>
        <v>1833.3333333333337</v>
      </c>
      <c r="D59" s="100">
        <f t="shared" ref="D59:O59" si="16">D87</f>
        <v>152.77777777777777</v>
      </c>
      <c r="E59" s="100">
        <f t="shared" si="16"/>
        <v>152.77777777777777</v>
      </c>
      <c r="F59" s="100">
        <f t="shared" si="16"/>
        <v>152.77777777777777</v>
      </c>
      <c r="G59" s="100">
        <f t="shared" si="16"/>
        <v>152.77777777777777</v>
      </c>
      <c r="H59" s="100">
        <f t="shared" si="16"/>
        <v>152.77777777777777</v>
      </c>
      <c r="I59" s="100">
        <f t="shared" si="16"/>
        <v>152.77777777777777</v>
      </c>
      <c r="J59" s="100">
        <f t="shared" si="16"/>
        <v>152.77777777777777</v>
      </c>
      <c r="K59" s="100">
        <f t="shared" si="16"/>
        <v>152.77777777777777</v>
      </c>
      <c r="L59" s="100">
        <f t="shared" si="16"/>
        <v>152.77777777777777</v>
      </c>
      <c r="M59" s="100">
        <f t="shared" si="16"/>
        <v>152.77777777777777</v>
      </c>
      <c r="N59" s="100">
        <f t="shared" si="16"/>
        <v>152.77777777777777</v>
      </c>
      <c r="O59" s="100">
        <f t="shared" si="16"/>
        <v>152.77777777777777</v>
      </c>
      <c r="P59" s="100">
        <f>SUM(Q59:AB59)</f>
        <v>666.66666666666663</v>
      </c>
      <c r="Q59" s="100">
        <f t="shared" ref="Q59:AB59" si="17">Q87</f>
        <v>55.55555555555555</v>
      </c>
      <c r="R59" s="100">
        <f t="shared" si="17"/>
        <v>55.55555555555555</v>
      </c>
      <c r="S59" s="100">
        <f t="shared" si="17"/>
        <v>55.55555555555555</v>
      </c>
      <c r="T59" s="100">
        <f t="shared" si="17"/>
        <v>55.55555555555555</v>
      </c>
      <c r="U59" s="100">
        <f t="shared" si="17"/>
        <v>55.55555555555555</v>
      </c>
      <c r="V59" s="100">
        <f t="shared" si="17"/>
        <v>55.55555555555555</v>
      </c>
      <c r="W59" s="100">
        <f t="shared" si="17"/>
        <v>55.55555555555555</v>
      </c>
      <c r="X59" s="100">
        <f t="shared" si="17"/>
        <v>55.55555555555555</v>
      </c>
      <c r="Y59" s="100">
        <f t="shared" si="17"/>
        <v>55.55555555555555</v>
      </c>
      <c r="Z59" s="100">
        <f t="shared" si="17"/>
        <v>55.55555555555555</v>
      </c>
      <c r="AA59" s="100">
        <f t="shared" si="17"/>
        <v>55.55555555555555</v>
      </c>
      <c r="AB59" s="100">
        <f t="shared" si="17"/>
        <v>55.55555555555555</v>
      </c>
      <c r="AC59" s="100">
        <f>SUM(AD59:AO59)</f>
        <v>833.33333333333337</v>
      </c>
      <c r="AD59" s="100">
        <f t="shared" ref="AD59:AO59" si="18">AD87</f>
        <v>69.444444444444443</v>
      </c>
      <c r="AE59" s="100">
        <f t="shared" si="18"/>
        <v>69.444444444444443</v>
      </c>
      <c r="AF59" s="100">
        <f t="shared" si="18"/>
        <v>69.444444444444443</v>
      </c>
      <c r="AG59" s="100">
        <f t="shared" si="18"/>
        <v>69.444444444444443</v>
      </c>
      <c r="AH59" s="100">
        <f t="shared" si="18"/>
        <v>69.444444444444443</v>
      </c>
      <c r="AI59" s="100">
        <f t="shared" si="18"/>
        <v>69.444444444444443</v>
      </c>
      <c r="AJ59" s="100">
        <f t="shared" si="18"/>
        <v>69.444444444444443</v>
      </c>
      <c r="AK59" s="100">
        <f t="shared" si="18"/>
        <v>69.444444444444443</v>
      </c>
      <c r="AL59" s="100">
        <f t="shared" si="18"/>
        <v>69.444444444444443</v>
      </c>
      <c r="AM59" s="100">
        <f t="shared" si="18"/>
        <v>69.444444444444443</v>
      </c>
      <c r="AN59" s="100">
        <f t="shared" si="18"/>
        <v>69.444444444444443</v>
      </c>
      <c r="AO59" s="100">
        <f t="shared" si="18"/>
        <v>69.444444444444443</v>
      </c>
    </row>
    <row r="60" spans="2:41" s="75" customFormat="1" ht="13.5" customHeight="1" x14ac:dyDescent="0.3">
      <c r="B60" s="83" t="s">
        <v>283</v>
      </c>
      <c r="C60" s="83">
        <f t="shared" ref="C60:AO60" si="19">SUM(C53,C55:C59)+C42</f>
        <v>99983.333333333328</v>
      </c>
      <c r="D60" s="83">
        <f t="shared" si="19"/>
        <v>8331.9444444444453</v>
      </c>
      <c r="E60" s="83">
        <f t="shared" si="19"/>
        <v>8331.9444444444453</v>
      </c>
      <c r="F60" s="83">
        <f t="shared" si="19"/>
        <v>8331.9444444444453</v>
      </c>
      <c r="G60" s="83">
        <f t="shared" si="19"/>
        <v>8331.9444444444453</v>
      </c>
      <c r="H60" s="83">
        <f t="shared" si="19"/>
        <v>8331.9444444444453</v>
      </c>
      <c r="I60" s="83">
        <f t="shared" si="19"/>
        <v>8331.9444444444453</v>
      </c>
      <c r="J60" s="83">
        <f t="shared" si="19"/>
        <v>8331.9444444444453</v>
      </c>
      <c r="K60" s="83">
        <f t="shared" si="19"/>
        <v>8331.9444444444453</v>
      </c>
      <c r="L60" s="83">
        <f t="shared" si="19"/>
        <v>8331.9444444444453</v>
      </c>
      <c r="M60" s="83">
        <f t="shared" si="19"/>
        <v>8331.9444444444453</v>
      </c>
      <c r="N60" s="83">
        <f t="shared" si="19"/>
        <v>8331.9444444444453</v>
      </c>
      <c r="O60" s="83">
        <f t="shared" si="19"/>
        <v>8331.9444444444453</v>
      </c>
      <c r="P60" s="83">
        <f t="shared" si="19"/>
        <v>191864.66666666666</v>
      </c>
      <c r="Q60" s="83">
        <f t="shared" si="19"/>
        <v>15988.722222222223</v>
      </c>
      <c r="R60" s="83">
        <f t="shared" si="19"/>
        <v>15988.722222222223</v>
      </c>
      <c r="S60" s="83">
        <f t="shared" si="19"/>
        <v>15988.722222222223</v>
      </c>
      <c r="T60" s="83">
        <f t="shared" si="19"/>
        <v>15988.722222222223</v>
      </c>
      <c r="U60" s="83">
        <f t="shared" si="19"/>
        <v>15988.722222222223</v>
      </c>
      <c r="V60" s="83">
        <f t="shared" si="19"/>
        <v>15988.722222222223</v>
      </c>
      <c r="W60" s="83">
        <f t="shared" si="19"/>
        <v>15988.722222222223</v>
      </c>
      <c r="X60" s="83">
        <f t="shared" si="19"/>
        <v>15988.722222222223</v>
      </c>
      <c r="Y60" s="83">
        <f t="shared" si="19"/>
        <v>15988.722222222223</v>
      </c>
      <c r="Z60" s="83">
        <f t="shared" si="19"/>
        <v>15988.722222222223</v>
      </c>
      <c r="AA60" s="83">
        <f t="shared" si="19"/>
        <v>15988.722222222223</v>
      </c>
      <c r="AB60" s="83">
        <f t="shared" si="19"/>
        <v>15988.722222222223</v>
      </c>
      <c r="AC60" s="83">
        <f t="shared" si="19"/>
        <v>321461.33333333331</v>
      </c>
      <c r="AD60" s="83">
        <f t="shared" si="19"/>
        <v>26788.444444444445</v>
      </c>
      <c r="AE60" s="83">
        <f t="shared" si="19"/>
        <v>26788.444444444445</v>
      </c>
      <c r="AF60" s="83">
        <f t="shared" si="19"/>
        <v>26788.444444444445</v>
      </c>
      <c r="AG60" s="83">
        <f t="shared" si="19"/>
        <v>26788.444444444445</v>
      </c>
      <c r="AH60" s="83">
        <f t="shared" si="19"/>
        <v>26788.444444444445</v>
      </c>
      <c r="AI60" s="83">
        <f t="shared" si="19"/>
        <v>26788.444444444445</v>
      </c>
      <c r="AJ60" s="83">
        <f t="shared" si="19"/>
        <v>26788.444444444445</v>
      </c>
      <c r="AK60" s="83">
        <f t="shared" si="19"/>
        <v>26788.444444444445</v>
      </c>
      <c r="AL60" s="83">
        <f t="shared" si="19"/>
        <v>26788.444444444445</v>
      </c>
      <c r="AM60" s="83">
        <f t="shared" si="19"/>
        <v>26788.444444444445</v>
      </c>
      <c r="AN60" s="83">
        <f t="shared" si="19"/>
        <v>26788.444444444445</v>
      </c>
      <c r="AO60" s="83">
        <f t="shared" si="19"/>
        <v>26788.444444444445</v>
      </c>
    </row>
    <row r="61" spans="2:41" s="75" customFormat="1" ht="13.5" customHeight="1" x14ac:dyDescent="0.3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2:41" s="75" customFormat="1" ht="13.5" customHeight="1" x14ac:dyDescent="0.3">
      <c r="B62" s="80" t="s">
        <v>284</v>
      </c>
      <c r="C62" s="80">
        <f>C36+C37-C60</f>
        <v>13016.666666666672</v>
      </c>
      <c r="D62" s="80">
        <f>D36+D37-D60</f>
        <v>1084.7222222222226</v>
      </c>
      <c r="E62" s="80">
        <f t="shared" ref="E62:AO62" si="20">E36-E60</f>
        <v>1084.7222222222226</v>
      </c>
      <c r="F62" s="80">
        <f t="shared" si="20"/>
        <v>1084.7222222222226</v>
      </c>
      <c r="G62" s="80">
        <f t="shared" si="20"/>
        <v>1084.7222222222226</v>
      </c>
      <c r="H62" s="80">
        <f t="shared" si="20"/>
        <v>1084.7222222222226</v>
      </c>
      <c r="I62" s="80">
        <f t="shared" si="20"/>
        <v>1084.7222222222226</v>
      </c>
      <c r="J62" s="80">
        <f t="shared" si="20"/>
        <v>1084.7222222222226</v>
      </c>
      <c r="K62" s="80">
        <f t="shared" si="20"/>
        <v>1084.7222222222226</v>
      </c>
      <c r="L62" s="80">
        <f t="shared" si="20"/>
        <v>1084.7222222222226</v>
      </c>
      <c r="M62" s="80">
        <f t="shared" si="20"/>
        <v>1084.7222222222226</v>
      </c>
      <c r="N62" s="80">
        <f t="shared" si="20"/>
        <v>1084.7222222222226</v>
      </c>
      <c r="O62" s="80">
        <f t="shared" si="20"/>
        <v>1084.7222222222226</v>
      </c>
      <c r="P62" s="80">
        <f t="shared" si="20"/>
        <v>56135.333333333343</v>
      </c>
      <c r="Q62" s="80">
        <f t="shared" si="20"/>
        <v>4677.9444444444453</v>
      </c>
      <c r="R62" s="80">
        <f t="shared" si="20"/>
        <v>4677.9444444444453</v>
      </c>
      <c r="S62" s="80">
        <f t="shared" si="20"/>
        <v>4677.9444444444453</v>
      </c>
      <c r="T62" s="80">
        <f t="shared" si="20"/>
        <v>4677.9444444444453</v>
      </c>
      <c r="U62" s="80">
        <f t="shared" si="20"/>
        <v>4677.9444444444453</v>
      </c>
      <c r="V62" s="80">
        <f t="shared" si="20"/>
        <v>4677.9444444444453</v>
      </c>
      <c r="W62" s="80">
        <f t="shared" si="20"/>
        <v>4677.9444444444453</v>
      </c>
      <c r="X62" s="80">
        <f t="shared" si="20"/>
        <v>4677.9444444444453</v>
      </c>
      <c r="Y62" s="80">
        <f t="shared" si="20"/>
        <v>4677.9444444444453</v>
      </c>
      <c r="Z62" s="80">
        <f t="shared" si="20"/>
        <v>4677.9444444444453</v>
      </c>
      <c r="AA62" s="80">
        <f t="shared" si="20"/>
        <v>4677.9444444444453</v>
      </c>
      <c r="AB62" s="80">
        <f t="shared" si="20"/>
        <v>4677.9444444444453</v>
      </c>
      <c r="AC62" s="80">
        <f t="shared" si="20"/>
        <v>95538.666666666686</v>
      </c>
      <c r="AD62" s="80">
        <f t="shared" si="20"/>
        <v>7961.5555555555547</v>
      </c>
      <c r="AE62" s="80">
        <f t="shared" si="20"/>
        <v>7961.5555555555547</v>
      </c>
      <c r="AF62" s="80">
        <f t="shared" si="20"/>
        <v>7961.5555555555547</v>
      </c>
      <c r="AG62" s="80">
        <f t="shared" si="20"/>
        <v>7961.5555555555547</v>
      </c>
      <c r="AH62" s="80">
        <f t="shared" si="20"/>
        <v>7961.5555555555547</v>
      </c>
      <c r="AI62" s="80">
        <f t="shared" si="20"/>
        <v>7961.5555555555547</v>
      </c>
      <c r="AJ62" s="80">
        <f t="shared" si="20"/>
        <v>7961.5555555555547</v>
      </c>
      <c r="AK62" s="80">
        <f t="shared" si="20"/>
        <v>7961.5555555555547</v>
      </c>
      <c r="AL62" s="80">
        <f t="shared" si="20"/>
        <v>7961.5555555555547</v>
      </c>
      <c r="AM62" s="80">
        <f t="shared" si="20"/>
        <v>7961.5555555555547</v>
      </c>
      <c r="AN62" s="80">
        <f t="shared" si="20"/>
        <v>7961.5555555555547</v>
      </c>
      <c r="AO62" s="80">
        <f t="shared" si="20"/>
        <v>7961.5555555555547</v>
      </c>
    </row>
    <row r="63" spans="2:41" s="77" customFormat="1" ht="13.5" customHeight="1" x14ac:dyDescent="0.3"/>
    <row r="64" spans="2:41" s="77" customFormat="1" ht="13.5" customHeight="1" x14ac:dyDescent="0.3">
      <c r="B64" s="84" t="s">
        <v>285</v>
      </c>
      <c r="C64" s="85">
        <f>SUM(D64:O64)</f>
        <v>740.67656641682925</v>
      </c>
      <c r="D64" s="84">
        <f t="shared" ref="D64:O64" si="21">D171+D185+D199</f>
        <v>66.666666666666671</v>
      </c>
      <c r="E64" s="84">
        <f t="shared" si="21"/>
        <v>65.777777777777771</v>
      </c>
      <c r="F64" s="84">
        <f t="shared" si="21"/>
        <v>64.885925925925932</v>
      </c>
      <c r="G64" s="84">
        <f t="shared" si="21"/>
        <v>63.991101234567907</v>
      </c>
      <c r="H64" s="84">
        <f t="shared" si="21"/>
        <v>63.09329379423869</v>
      </c>
      <c r="I64" s="84">
        <f t="shared" si="21"/>
        <v>62.192493662441706</v>
      </c>
      <c r="J64" s="84">
        <f t="shared" si="21"/>
        <v>61.28869086353874</v>
      </c>
      <c r="K64" s="84">
        <f t="shared" si="21"/>
        <v>60.381875388639422</v>
      </c>
      <c r="L64" s="84">
        <f t="shared" si="21"/>
        <v>59.472037195490437</v>
      </c>
      <c r="M64" s="84">
        <f t="shared" si="21"/>
        <v>58.559166208364296</v>
      </c>
      <c r="N64" s="84">
        <f t="shared" si="21"/>
        <v>57.643252317947741</v>
      </c>
      <c r="O64" s="84">
        <f t="shared" si="21"/>
        <v>56.724285381229784</v>
      </c>
      <c r="P64" s="85">
        <f>SUM(Q64:AB64)</f>
        <v>607.88670085802414</v>
      </c>
      <c r="Q64" s="84">
        <f t="shared" ref="Q64:AB64" si="22">Q171+Q185+Q199</f>
        <v>55.802255221389437</v>
      </c>
      <c r="R64" s="84">
        <f t="shared" si="22"/>
        <v>54.877151627682956</v>
      </c>
      <c r="S64" s="84">
        <f t="shared" si="22"/>
        <v>53.948964355330787</v>
      </c>
      <c r="T64" s="84">
        <f t="shared" si="22"/>
        <v>53.017683125404112</v>
      </c>
      <c r="U64" s="84">
        <f t="shared" si="22"/>
        <v>52.083297624711015</v>
      </c>
      <c r="V64" s="84">
        <f t="shared" si="22"/>
        <v>51.145797505682275</v>
      </c>
      <c r="W64" s="84">
        <f t="shared" si="22"/>
        <v>50.20517238625677</v>
      </c>
      <c r="X64" s="84">
        <f t="shared" si="22"/>
        <v>49.261411849766517</v>
      </c>
      <c r="Y64" s="84">
        <f t="shared" si="22"/>
        <v>48.314505444821293</v>
      </c>
      <c r="Z64" s="84">
        <f t="shared" si="22"/>
        <v>47.36444268519292</v>
      </c>
      <c r="AA64" s="84">
        <f t="shared" si="22"/>
        <v>46.411213049699114</v>
      </c>
      <c r="AB64" s="84">
        <f t="shared" si="22"/>
        <v>45.454805982087002</v>
      </c>
      <c r="AC64" s="85">
        <f>SUM(AD64:AO64)</f>
        <v>469.68677129224216</v>
      </c>
      <c r="AD64" s="84">
        <f t="shared" ref="AD64:AO64" si="23">AD171+AD185+AD199</f>
        <v>44.495210890916184</v>
      </c>
      <c r="AE64" s="84">
        <f t="shared" si="23"/>
        <v>43.532417149441457</v>
      </c>
      <c r="AF64" s="84">
        <f t="shared" si="23"/>
        <v>42.566414095495148</v>
      </c>
      <c r="AG64" s="84">
        <f t="shared" si="23"/>
        <v>41.597191031369022</v>
      </c>
      <c r="AH64" s="84">
        <f t="shared" si="23"/>
        <v>40.62473722369581</v>
      </c>
      <c r="AI64" s="84">
        <f t="shared" si="23"/>
        <v>39.64904190333035</v>
      </c>
      <c r="AJ64" s="84">
        <f t="shared" si="23"/>
        <v>38.670094265230333</v>
      </c>
      <c r="AK64" s="84">
        <f t="shared" si="23"/>
        <v>37.687883468336658</v>
      </c>
      <c r="AL64" s="84">
        <f t="shared" si="23"/>
        <v>36.702398635453342</v>
      </c>
      <c r="AM64" s="84">
        <f t="shared" si="23"/>
        <v>35.713628853127076</v>
      </c>
      <c r="AN64" s="84">
        <f t="shared" si="23"/>
        <v>34.721563171526384</v>
      </c>
      <c r="AO64" s="84">
        <f t="shared" si="23"/>
        <v>33.726190604320358</v>
      </c>
    </row>
    <row r="65" spans="2:41" s="77" customFormat="1" ht="13.5" customHeight="1" x14ac:dyDescent="0.3"/>
    <row r="66" spans="2:41" s="75" customFormat="1" ht="13.5" customHeight="1" x14ac:dyDescent="0.3">
      <c r="B66" s="80" t="s">
        <v>241</v>
      </c>
      <c r="C66" s="80">
        <f t="shared" ref="C66:AO66" si="24">C62-C64</f>
        <v>12275.990100249843</v>
      </c>
      <c r="D66" s="80">
        <f t="shared" si="24"/>
        <v>1018.055555555556</v>
      </c>
      <c r="E66" s="80">
        <f t="shared" si="24"/>
        <v>1018.9444444444448</v>
      </c>
      <c r="F66" s="80">
        <f t="shared" si="24"/>
        <v>1019.8362962962967</v>
      </c>
      <c r="G66" s="80">
        <f t="shared" si="24"/>
        <v>1020.7311209876548</v>
      </c>
      <c r="H66" s="80">
        <f t="shared" si="24"/>
        <v>1021.628928427984</v>
      </c>
      <c r="I66" s="80">
        <f t="shared" si="24"/>
        <v>1022.5297285597809</v>
      </c>
      <c r="J66" s="80">
        <f t="shared" si="24"/>
        <v>1023.4335313586839</v>
      </c>
      <c r="K66" s="80">
        <f t="shared" si="24"/>
        <v>1024.3403468335832</v>
      </c>
      <c r="L66" s="80">
        <f t="shared" si="24"/>
        <v>1025.2501850267322</v>
      </c>
      <c r="M66" s="80">
        <f t="shared" si="24"/>
        <v>1026.1630560138583</v>
      </c>
      <c r="N66" s="80">
        <f t="shared" si="24"/>
        <v>1027.0789699042748</v>
      </c>
      <c r="O66" s="80">
        <f t="shared" si="24"/>
        <v>1027.9979368409929</v>
      </c>
      <c r="P66" s="80">
        <f t="shared" si="24"/>
        <v>55527.446632475316</v>
      </c>
      <c r="Q66" s="80">
        <f t="shared" si="24"/>
        <v>4622.1421892230555</v>
      </c>
      <c r="R66" s="80">
        <f t="shared" si="24"/>
        <v>4623.0672928167623</v>
      </c>
      <c r="S66" s="80">
        <f t="shared" si="24"/>
        <v>4623.9954800891146</v>
      </c>
      <c r="T66" s="80">
        <f t="shared" si="24"/>
        <v>4624.9267613190414</v>
      </c>
      <c r="U66" s="80">
        <f t="shared" si="24"/>
        <v>4625.8611468197341</v>
      </c>
      <c r="V66" s="80">
        <f t="shared" si="24"/>
        <v>4626.7986469387633</v>
      </c>
      <c r="W66" s="80">
        <f t="shared" si="24"/>
        <v>4627.7392720581884</v>
      </c>
      <c r="X66" s="80">
        <f t="shared" si="24"/>
        <v>4628.6830325946785</v>
      </c>
      <c r="Y66" s="80">
        <f t="shared" si="24"/>
        <v>4629.6299389996238</v>
      </c>
      <c r="Z66" s="80">
        <f t="shared" si="24"/>
        <v>4630.5800017592519</v>
      </c>
      <c r="AA66" s="80">
        <f t="shared" si="24"/>
        <v>4631.5332313947465</v>
      </c>
      <c r="AB66" s="80">
        <f t="shared" si="24"/>
        <v>4632.489638462358</v>
      </c>
      <c r="AC66" s="80">
        <f t="shared" si="24"/>
        <v>95068.979895374447</v>
      </c>
      <c r="AD66" s="80">
        <f t="shared" si="24"/>
        <v>7917.0603446646383</v>
      </c>
      <c r="AE66" s="80">
        <f t="shared" si="24"/>
        <v>7918.0231384061135</v>
      </c>
      <c r="AF66" s="80">
        <f t="shared" si="24"/>
        <v>7918.9891414600597</v>
      </c>
      <c r="AG66" s="80">
        <f t="shared" si="24"/>
        <v>7919.9583645241855</v>
      </c>
      <c r="AH66" s="80">
        <f t="shared" si="24"/>
        <v>7920.930818331859</v>
      </c>
      <c r="AI66" s="80">
        <f t="shared" si="24"/>
        <v>7921.906513652224</v>
      </c>
      <c r="AJ66" s="80">
        <f t="shared" si="24"/>
        <v>7922.8854612903242</v>
      </c>
      <c r="AK66" s="80">
        <f t="shared" si="24"/>
        <v>7923.8676720872181</v>
      </c>
      <c r="AL66" s="80">
        <f t="shared" si="24"/>
        <v>7924.8531569201014</v>
      </c>
      <c r="AM66" s="80">
        <f t="shared" si="24"/>
        <v>7925.8419267024274</v>
      </c>
      <c r="AN66" s="80">
        <f t="shared" si="24"/>
        <v>7926.8339923840285</v>
      </c>
      <c r="AO66" s="80">
        <f t="shared" si="24"/>
        <v>7927.8293649512343</v>
      </c>
    </row>
    <row r="67" spans="2:41" s="101" customFormat="1" ht="13.5" customHeight="1" x14ac:dyDescent="0.3">
      <c r="B67" s="102" t="s">
        <v>286</v>
      </c>
      <c r="C67" s="103">
        <f t="shared" ref="C67:AO67" si="25">IF(C$36=0,"NA",C66/C$36)</f>
        <v>0.10863708053318445</v>
      </c>
      <c r="D67" s="104">
        <f t="shared" si="25"/>
        <v>0.10811209439528027</v>
      </c>
      <c r="E67" s="104">
        <f t="shared" si="25"/>
        <v>0.10820648967551624</v>
      </c>
      <c r="F67" s="103">
        <f t="shared" si="25"/>
        <v>0.10830119960668637</v>
      </c>
      <c r="G67" s="103">
        <f t="shared" si="25"/>
        <v>0.10839622523762704</v>
      </c>
      <c r="H67" s="103">
        <f t="shared" si="25"/>
        <v>0.10849156762067085</v>
      </c>
      <c r="I67" s="103">
        <f t="shared" si="25"/>
        <v>0.10858722781165814</v>
      </c>
      <c r="J67" s="103">
        <f t="shared" si="25"/>
        <v>0.10868320686994871</v>
      </c>
      <c r="K67" s="103">
        <f t="shared" si="25"/>
        <v>0.1087795058584336</v>
      </c>
      <c r="L67" s="103">
        <f t="shared" si="25"/>
        <v>0.10887612584354676</v>
      </c>
      <c r="M67" s="103">
        <f t="shared" si="25"/>
        <v>0.10897306789527697</v>
      </c>
      <c r="N67" s="103">
        <f t="shared" si="25"/>
        <v>0.10907033308717962</v>
      </c>
      <c r="O67" s="103">
        <f t="shared" si="25"/>
        <v>0.10916792249638861</v>
      </c>
      <c r="P67" s="103">
        <f t="shared" si="25"/>
        <v>0.22390099448578757</v>
      </c>
      <c r="Q67" s="103">
        <f t="shared" si="25"/>
        <v>0.22365204141401882</v>
      </c>
      <c r="R67" s="103">
        <f t="shared" si="25"/>
        <v>0.22369680449113366</v>
      </c>
      <c r="S67" s="103">
        <f t="shared" si="25"/>
        <v>0.22374171677850554</v>
      </c>
      <c r="T67" s="103">
        <f t="shared" si="25"/>
        <v>0.22378677877350198</v>
      </c>
      <c r="U67" s="103">
        <f t="shared" si="25"/>
        <v>0.22383199097514841</v>
      </c>
      <c r="V67" s="103">
        <f t="shared" si="25"/>
        <v>0.22387735388413368</v>
      </c>
      <c r="W67" s="103">
        <f t="shared" si="25"/>
        <v>0.22392286800281555</v>
      </c>
      <c r="X67" s="103">
        <f t="shared" si="25"/>
        <v>0.22396853383522636</v>
      </c>
      <c r="Y67" s="103">
        <f t="shared" si="25"/>
        <v>0.22401435188707855</v>
      </c>
      <c r="Z67" s="103">
        <f t="shared" si="25"/>
        <v>0.22406032266577025</v>
      </c>
      <c r="AA67" s="103">
        <f t="shared" si="25"/>
        <v>0.22410644668039095</v>
      </c>
      <c r="AB67" s="103">
        <f t="shared" si="25"/>
        <v>0.22415272444172699</v>
      </c>
      <c r="AC67" s="103">
        <f t="shared" si="25"/>
        <v>0.22798316521672529</v>
      </c>
      <c r="AD67" s="103">
        <f t="shared" si="25"/>
        <v>0.22782907466660829</v>
      </c>
      <c r="AE67" s="103">
        <f t="shared" si="25"/>
        <v>0.227856780961327</v>
      </c>
      <c r="AF67" s="103">
        <f t="shared" si="25"/>
        <v>0.22788457961036143</v>
      </c>
      <c r="AG67" s="103">
        <f t="shared" si="25"/>
        <v>0.22791247092155931</v>
      </c>
      <c r="AH67" s="103">
        <f t="shared" si="25"/>
        <v>0.2279404552037945</v>
      </c>
      <c r="AI67" s="103">
        <f t="shared" si="25"/>
        <v>0.22796853276697049</v>
      </c>
      <c r="AJ67" s="103">
        <f t="shared" si="25"/>
        <v>0.22799670392202373</v>
      </c>
      <c r="AK67" s="103">
        <f t="shared" si="25"/>
        <v>0.22802496898092714</v>
      </c>
      <c r="AL67" s="103">
        <f t="shared" si="25"/>
        <v>0.22805332825669355</v>
      </c>
      <c r="AM67" s="103">
        <f t="shared" si="25"/>
        <v>0.2280817820633792</v>
      </c>
      <c r="AN67" s="103">
        <f t="shared" si="25"/>
        <v>0.22811033071608716</v>
      </c>
      <c r="AO67" s="103">
        <f t="shared" si="25"/>
        <v>0.22813897453097076</v>
      </c>
    </row>
    <row r="68" spans="2:41" s="73" customFormat="1" ht="13.5" customHeight="1" x14ac:dyDescent="0.3">
      <c r="C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AC68" s="77"/>
    </row>
    <row r="69" spans="2:41" s="73" customFormat="1" ht="13.5" customHeight="1" x14ac:dyDescent="0.3">
      <c r="B69" s="95" t="s">
        <v>243</v>
      </c>
      <c r="C69" s="85">
        <f>SUM(D69:O69)</f>
        <v>0</v>
      </c>
      <c r="D69" s="84">
        <f t="shared" ref="D69:O69" si="26">-(D89+D91)</f>
        <v>0</v>
      </c>
      <c r="E69" s="84">
        <f t="shared" si="26"/>
        <v>0</v>
      </c>
      <c r="F69" s="84">
        <f t="shared" si="26"/>
        <v>0</v>
      </c>
      <c r="G69" s="84">
        <f t="shared" si="26"/>
        <v>0</v>
      </c>
      <c r="H69" s="84">
        <f t="shared" si="26"/>
        <v>0</v>
      </c>
      <c r="I69" s="84">
        <f t="shared" si="26"/>
        <v>0</v>
      </c>
      <c r="J69" s="84">
        <f t="shared" si="26"/>
        <v>0</v>
      </c>
      <c r="K69" s="84">
        <f t="shared" si="26"/>
        <v>0</v>
      </c>
      <c r="L69" s="84">
        <f t="shared" si="26"/>
        <v>0</v>
      </c>
      <c r="M69" s="84">
        <f t="shared" si="26"/>
        <v>0</v>
      </c>
      <c r="N69" s="84">
        <f t="shared" si="26"/>
        <v>0</v>
      </c>
      <c r="O69" s="84">
        <f t="shared" si="26"/>
        <v>0</v>
      </c>
      <c r="P69" s="85">
        <f>SUM(Q69:AB69)</f>
        <v>0</v>
      </c>
      <c r="Q69" s="84">
        <f t="shared" ref="Q69:AB69" si="27">-(Q89+Q91)</f>
        <v>0</v>
      </c>
      <c r="R69" s="84">
        <f t="shared" si="27"/>
        <v>0</v>
      </c>
      <c r="S69" s="84">
        <f t="shared" si="27"/>
        <v>0</v>
      </c>
      <c r="T69" s="84">
        <f t="shared" si="27"/>
        <v>0</v>
      </c>
      <c r="U69" s="84">
        <f t="shared" si="27"/>
        <v>0</v>
      </c>
      <c r="V69" s="84">
        <f t="shared" si="27"/>
        <v>0</v>
      </c>
      <c r="W69" s="84">
        <f t="shared" si="27"/>
        <v>0</v>
      </c>
      <c r="X69" s="84">
        <f t="shared" si="27"/>
        <v>0</v>
      </c>
      <c r="Y69" s="84">
        <f t="shared" si="27"/>
        <v>0</v>
      </c>
      <c r="Z69" s="84">
        <f t="shared" si="27"/>
        <v>0</v>
      </c>
      <c r="AA69" s="84">
        <f t="shared" si="27"/>
        <v>0</v>
      </c>
      <c r="AB69" s="84">
        <f t="shared" si="27"/>
        <v>0</v>
      </c>
      <c r="AC69" s="85">
        <f>SUM(AD69:AO69)</f>
        <v>0</v>
      </c>
      <c r="AD69" s="84">
        <f t="shared" ref="AD69:AO69" si="28">-(AD89+AD91)</f>
        <v>0</v>
      </c>
      <c r="AE69" s="84">
        <f t="shared" si="28"/>
        <v>0</v>
      </c>
      <c r="AF69" s="84">
        <f t="shared" si="28"/>
        <v>0</v>
      </c>
      <c r="AG69" s="84">
        <f t="shared" si="28"/>
        <v>0</v>
      </c>
      <c r="AH69" s="84">
        <f t="shared" si="28"/>
        <v>0</v>
      </c>
      <c r="AI69" s="84">
        <f t="shared" si="28"/>
        <v>0</v>
      </c>
      <c r="AJ69" s="84">
        <f t="shared" si="28"/>
        <v>0</v>
      </c>
      <c r="AK69" s="84">
        <f t="shared" si="28"/>
        <v>0</v>
      </c>
      <c r="AL69" s="84">
        <f t="shared" si="28"/>
        <v>0</v>
      </c>
      <c r="AM69" s="84">
        <f t="shared" si="28"/>
        <v>0</v>
      </c>
      <c r="AN69" s="84">
        <f t="shared" si="28"/>
        <v>0</v>
      </c>
      <c r="AO69" s="84">
        <f t="shared" si="28"/>
        <v>0</v>
      </c>
    </row>
    <row r="70" spans="2:41" s="73" customFormat="1" ht="13.5" customHeight="1" x14ac:dyDescent="0.3">
      <c r="B70" s="95" t="s">
        <v>244</v>
      </c>
      <c r="C70" s="85">
        <f>C152</f>
        <v>1841.3985150374763</v>
      </c>
      <c r="D70" s="84">
        <f t="shared" ref="D70:O70" si="29">D66/$C$66*$C$70</f>
        <v>152.70833333333337</v>
      </c>
      <c r="E70" s="84">
        <f t="shared" si="29"/>
        <v>152.84166666666673</v>
      </c>
      <c r="F70" s="84">
        <f t="shared" si="29"/>
        <v>152.97544444444452</v>
      </c>
      <c r="G70" s="84">
        <f t="shared" si="29"/>
        <v>153.10966814814819</v>
      </c>
      <c r="H70" s="84">
        <f t="shared" si="29"/>
        <v>153.24433926419758</v>
      </c>
      <c r="I70" s="84">
        <f t="shared" si="29"/>
        <v>153.37945928396712</v>
      </c>
      <c r="J70" s="84">
        <f t="shared" si="29"/>
        <v>153.51502970380258</v>
      </c>
      <c r="K70" s="84">
        <f t="shared" si="29"/>
        <v>153.65105202503747</v>
      </c>
      <c r="L70" s="84">
        <f t="shared" si="29"/>
        <v>153.78752775400983</v>
      </c>
      <c r="M70" s="84">
        <f t="shared" si="29"/>
        <v>153.92445840207873</v>
      </c>
      <c r="N70" s="84">
        <f t="shared" si="29"/>
        <v>154.06184548564121</v>
      </c>
      <c r="O70" s="84">
        <f t="shared" si="29"/>
        <v>154.19969052614891</v>
      </c>
      <c r="P70" s="85">
        <f>P152</f>
        <v>9631.8616581188289</v>
      </c>
      <c r="Q70" s="84">
        <f t="shared" ref="Q70:AB70" si="30">$P$70*Q66/$P$66</f>
        <v>801.76267468984395</v>
      </c>
      <c r="R70" s="84">
        <f t="shared" si="30"/>
        <v>801.92314433817808</v>
      </c>
      <c r="S70" s="84">
        <f t="shared" si="30"/>
        <v>802.08414888534003</v>
      </c>
      <c r="T70" s="84">
        <f t="shared" si="30"/>
        <v>802.24569011432595</v>
      </c>
      <c r="U70" s="84">
        <f t="shared" si="30"/>
        <v>802.4077698140751</v>
      </c>
      <c r="V70" s="84">
        <f t="shared" si="30"/>
        <v>802.57038977949014</v>
      </c>
      <c r="W70" s="84">
        <f t="shared" si="30"/>
        <v>802.73355181145644</v>
      </c>
      <c r="X70" s="84">
        <f t="shared" si="30"/>
        <v>802.89725771686255</v>
      </c>
      <c r="Y70" s="84">
        <f t="shared" si="30"/>
        <v>803.0615093086202</v>
      </c>
      <c r="Z70" s="84">
        <f t="shared" si="30"/>
        <v>803.22630840568365</v>
      </c>
      <c r="AA70" s="84">
        <f t="shared" si="30"/>
        <v>803.39165683307078</v>
      </c>
      <c r="AB70" s="84">
        <f t="shared" si="30"/>
        <v>803.5575564218824</v>
      </c>
      <c r="AC70" s="85">
        <f>AC152</f>
        <v>19517.244973843612</v>
      </c>
      <c r="AD70" s="84">
        <f t="shared" ref="AD70:AO70" si="31">AD66/$AC$66*$AC$70</f>
        <v>1625.3377956676757</v>
      </c>
      <c r="AE70" s="84">
        <f t="shared" si="31"/>
        <v>1625.5354530037735</v>
      </c>
      <c r="AF70" s="84">
        <f t="shared" si="31"/>
        <v>1625.7337691976581</v>
      </c>
      <c r="AG70" s="84">
        <f t="shared" si="31"/>
        <v>1625.9327464455223</v>
      </c>
      <c r="AH70" s="84">
        <f t="shared" si="31"/>
        <v>1626.1323869508799</v>
      </c>
      <c r="AI70" s="84">
        <f t="shared" si="31"/>
        <v>1626.3326929245879</v>
      </c>
      <c r="AJ70" s="84">
        <f t="shared" si="31"/>
        <v>1626.5336665848754</v>
      </c>
      <c r="AK70" s="84">
        <f t="shared" si="31"/>
        <v>1626.735310157364</v>
      </c>
      <c r="AL70" s="84">
        <f t="shared" si="31"/>
        <v>1626.937625875094</v>
      </c>
      <c r="AM70" s="84">
        <f t="shared" si="31"/>
        <v>1627.1406159785495</v>
      </c>
      <c r="AN70" s="84">
        <f t="shared" si="31"/>
        <v>1627.3442827156837</v>
      </c>
      <c r="AO70" s="84">
        <f t="shared" si="31"/>
        <v>1627.5486283419411</v>
      </c>
    </row>
    <row r="71" spans="2:41" s="73" customFormat="1" ht="13.5" customHeight="1" x14ac:dyDescent="0.3">
      <c r="C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AC71" s="77"/>
    </row>
    <row r="72" spans="2:41" s="73" customFormat="1" ht="13.5" customHeight="1" x14ac:dyDescent="0.3">
      <c r="B72" s="96" t="s">
        <v>138</v>
      </c>
      <c r="C72" s="80">
        <f>SUM(D72:O72)</f>
        <v>10434.591585212365</v>
      </c>
      <c r="D72" s="80">
        <f t="shared" ref="D72:O72" si="32">D66-D69-D70</f>
        <v>865.34722222222263</v>
      </c>
      <c r="E72" s="80">
        <f t="shared" si="32"/>
        <v>866.1027777777781</v>
      </c>
      <c r="F72" s="80">
        <f t="shared" si="32"/>
        <v>866.8608518518522</v>
      </c>
      <c r="G72" s="80">
        <f t="shared" si="32"/>
        <v>867.62145283950656</v>
      </c>
      <c r="H72" s="80">
        <f t="shared" si="32"/>
        <v>868.38458916378636</v>
      </c>
      <c r="I72" s="80">
        <f t="shared" si="32"/>
        <v>869.1502692758138</v>
      </c>
      <c r="J72" s="80">
        <f t="shared" si="32"/>
        <v>869.91850165488131</v>
      </c>
      <c r="K72" s="80">
        <f t="shared" si="32"/>
        <v>870.68929480854581</v>
      </c>
      <c r="L72" s="80">
        <f t="shared" si="32"/>
        <v>871.46265727272237</v>
      </c>
      <c r="M72" s="80">
        <f t="shared" si="32"/>
        <v>872.2385976117796</v>
      </c>
      <c r="N72" s="80">
        <f t="shared" si="32"/>
        <v>873.01712441863356</v>
      </c>
      <c r="O72" s="80">
        <f t="shared" si="32"/>
        <v>873.79824631484394</v>
      </c>
      <c r="P72" s="80">
        <f>SUM(Q72:AB72)</f>
        <v>45895.584974356483</v>
      </c>
      <c r="Q72" s="80">
        <f t="shared" ref="Q72:AB72" si="33">Q66-Q69-Q70</f>
        <v>3820.3795145332115</v>
      </c>
      <c r="R72" s="80">
        <f t="shared" si="33"/>
        <v>3821.1441484785842</v>
      </c>
      <c r="S72" s="80">
        <f t="shared" si="33"/>
        <v>3821.9113312037744</v>
      </c>
      <c r="T72" s="80">
        <f t="shared" si="33"/>
        <v>3822.6810712047154</v>
      </c>
      <c r="U72" s="80">
        <f t="shared" si="33"/>
        <v>3823.4533770056591</v>
      </c>
      <c r="V72" s="80">
        <f t="shared" si="33"/>
        <v>3824.2282571592732</v>
      </c>
      <c r="W72" s="80">
        <f t="shared" si="33"/>
        <v>3825.0057202467319</v>
      </c>
      <c r="X72" s="80">
        <f t="shared" si="33"/>
        <v>3825.785774877816</v>
      </c>
      <c r="Y72" s="80">
        <f t="shared" si="33"/>
        <v>3826.5684296910035</v>
      </c>
      <c r="Z72" s="80">
        <f t="shared" si="33"/>
        <v>3827.3536933535684</v>
      </c>
      <c r="AA72" s="80">
        <f t="shared" si="33"/>
        <v>3828.141574561676</v>
      </c>
      <c r="AB72" s="80">
        <f t="shared" si="33"/>
        <v>3828.9320820404755</v>
      </c>
      <c r="AC72" s="80">
        <f>SUM(AD72:AO72)</f>
        <v>75551.734921530806</v>
      </c>
      <c r="AD72" s="80">
        <f t="shared" ref="AD72:AO72" si="34">AD66-AD69-AD70</f>
        <v>6291.7225489969624</v>
      </c>
      <c r="AE72" s="80">
        <f t="shared" si="34"/>
        <v>6292.4876854023405</v>
      </c>
      <c r="AF72" s="80">
        <f t="shared" si="34"/>
        <v>6293.2553722624016</v>
      </c>
      <c r="AG72" s="80">
        <f t="shared" si="34"/>
        <v>6294.0256180786637</v>
      </c>
      <c r="AH72" s="80">
        <f t="shared" si="34"/>
        <v>6294.7984313809793</v>
      </c>
      <c r="AI72" s="80">
        <f t="shared" si="34"/>
        <v>6295.5738207276363</v>
      </c>
      <c r="AJ72" s="80">
        <f t="shared" si="34"/>
        <v>6296.3517947054488</v>
      </c>
      <c r="AK72" s="80">
        <f t="shared" si="34"/>
        <v>6297.1323619298546</v>
      </c>
      <c r="AL72" s="80">
        <f t="shared" si="34"/>
        <v>6297.9155310450078</v>
      </c>
      <c r="AM72" s="80">
        <f t="shared" si="34"/>
        <v>6298.7013107238781</v>
      </c>
      <c r="AN72" s="80">
        <f t="shared" si="34"/>
        <v>6299.4897096683453</v>
      </c>
      <c r="AO72" s="80">
        <f t="shared" si="34"/>
        <v>6300.2807366092929</v>
      </c>
    </row>
    <row r="73" spans="2:41" s="105" customFormat="1" ht="13.5" customHeight="1" x14ac:dyDescent="0.3">
      <c r="B73" s="103" t="s">
        <v>287</v>
      </c>
      <c r="C73" s="103">
        <f t="shared" ref="C73:AO73" si="35">IF(C$36=0,"NA",C72/C$36)</f>
        <v>9.2341518453206775E-2</v>
      </c>
      <c r="D73" s="104">
        <f t="shared" si="35"/>
        <v>9.1895280235988225E-2</v>
      </c>
      <c r="E73" s="104">
        <f t="shared" si="35"/>
        <v>9.1975516224188814E-2</v>
      </c>
      <c r="F73" s="103">
        <f t="shared" si="35"/>
        <v>9.2056019665683414E-2</v>
      </c>
      <c r="G73" s="103">
        <f t="shared" si="35"/>
        <v>9.2136791451982988E-2</v>
      </c>
      <c r="H73" s="103">
        <f t="shared" si="35"/>
        <v>9.2217832477570219E-2</v>
      </c>
      <c r="I73" s="103">
        <f t="shared" si="35"/>
        <v>9.2299143639909417E-2</v>
      </c>
      <c r="J73" s="103">
        <f t="shared" si="35"/>
        <v>9.2380725839456404E-2</v>
      </c>
      <c r="K73" s="103">
        <f t="shared" si="35"/>
        <v>9.2462579979668572E-2</v>
      </c>
      <c r="L73" s="103">
        <f t="shared" si="35"/>
        <v>9.254470696701475E-2</v>
      </c>
      <c r="M73" s="103">
        <f t="shared" si="35"/>
        <v>9.2627107710985437E-2</v>
      </c>
      <c r="N73" s="103">
        <f t="shared" si="35"/>
        <v>9.2709783124102663E-2</v>
      </c>
      <c r="O73" s="103">
        <f t="shared" si="35"/>
        <v>9.2792734121930315E-2</v>
      </c>
      <c r="P73" s="103">
        <f t="shared" si="35"/>
        <v>0.1850628426385342</v>
      </c>
      <c r="Q73" s="103">
        <f t="shared" si="35"/>
        <v>0.18485707328386505</v>
      </c>
      <c r="R73" s="103">
        <f t="shared" si="35"/>
        <v>0.18489407170057665</v>
      </c>
      <c r="S73" s="103">
        <f t="shared" si="35"/>
        <v>0.18493119344534392</v>
      </c>
      <c r="T73" s="103">
        <f t="shared" si="35"/>
        <v>0.1849684389292604</v>
      </c>
      <c r="U73" s="103">
        <f t="shared" si="35"/>
        <v>0.18500580856478996</v>
      </c>
      <c r="V73" s="103">
        <f t="shared" si="35"/>
        <v>0.18504330276577127</v>
      </c>
      <c r="W73" s="103">
        <f t="shared" si="35"/>
        <v>0.18508092194742251</v>
      </c>
      <c r="X73" s="103">
        <f t="shared" si="35"/>
        <v>0.18511866652634593</v>
      </c>
      <c r="Y73" s="103">
        <f t="shared" si="35"/>
        <v>0.18515653692053241</v>
      </c>
      <c r="Z73" s="103">
        <f t="shared" si="35"/>
        <v>0.18519453354936621</v>
      </c>
      <c r="AA73" s="103">
        <f t="shared" si="35"/>
        <v>0.18523265683362947</v>
      </c>
      <c r="AB73" s="103">
        <f t="shared" si="35"/>
        <v>0.18527090719550687</v>
      </c>
      <c r="AC73" s="103">
        <f t="shared" si="35"/>
        <v>0.18117922043532567</v>
      </c>
      <c r="AD73" s="103">
        <f t="shared" si="35"/>
        <v>0.18105676399991258</v>
      </c>
      <c r="AE73" s="103">
        <f t="shared" si="35"/>
        <v>0.18107878231373642</v>
      </c>
      <c r="AF73" s="103">
        <f t="shared" si="35"/>
        <v>0.18110087402193961</v>
      </c>
      <c r="AG73" s="103">
        <f t="shared" si="35"/>
        <v>0.18112303936917018</v>
      </c>
      <c r="AH73" s="103">
        <f t="shared" si="35"/>
        <v>0.1811452786008915</v>
      </c>
      <c r="AI73" s="103">
        <f t="shared" si="35"/>
        <v>0.18116759196338522</v>
      </c>
      <c r="AJ73" s="103">
        <f t="shared" si="35"/>
        <v>0.18118997970375392</v>
      </c>
      <c r="AK73" s="103">
        <f t="shared" si="35"/>
        <v>0.18121244206992387</v>
      </c>
      <c r="AL73" s="103">
        <f t="shared" si="35"/>
        <v>0.18123497931064772</v>
      </c>
      <c r="AM73" s="103">
        <f t="shared" si="35"/>
        <v>0.18125759167550728</v>
      </c>
      <c r="AN73" s="103">
        <f t="shared" si="35"/>
        <v>0.18128027941491642</v>
      </c>
      <c r="AO73" s="103">
        <f t="shared" si="35"/>
        <v>0.18130304278012355</v>
      </c>
    </row>
    <row r="74" spans="2:41" s="106" customFormat="1" ht="13.5" customHeight="1" x14ac:dyDescent="0.3">
      <c r="B74" s="101"/>
      <c r="C74" s="107"/>
      <c r="D74" s="101"/>
      <c r="E74" s="101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107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</row>
    <row r="75" spans="2:41" s="73" customFormat="1" ht="13.5" customHeight="1" x14ac:dyDescent="0.3">
      <c r="B75" s="74" t="s">
        <v>288</v>
      </c>
      <c r="C75" s="75"/>
      <c r="D75" s="76"/>
      <c r="E75" s="76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5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2:41" s="73" customFormat="1" ht="13.5" customHeight="1" x14ac:dyDescent="0.3">
      <c r="B76" s="74"/>
      <c r="C76" s="75"/>
      <c r="D76" s="76"/>
      <c r="E76" s="76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5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2:41" s="78" customFormat="1" ht="13.5" customHeight="1" x14ac:dyDescent="0.3">
      <c r="C77" s="77"/>
      <c r="D77" s="79">
        <v>46053</v>
      </c>
      <c r="E77" s="79">
        <v>46081</v>
      </c>
      <c r="F77" s="79">
        <v>46112</v>
      </c>
      <c r="G77" s="79">
        <v>46142</v>
      </c>
      <c r="H77" s="79">
        <v>46173</v>
      </c>
      <c r="I77" s="79">
        <v>46203</v>
      </c>
      <c r="J77" s="79">
        <v>46234</v>
      </c>
      <c r="K77" s="79">
        <v>46265</v>
      </c>
      <c r="L77" s="79">
        <v>46295</v>
      </c>
      <c r="M77" s="79">
        <v>46326</v>
      </c>
      <c r="N77" s="79">
        <v>46356</v>
      </c>
      <c r="O77" s="79">
        <v>46387</v>
      </c>
      <c r="P77" s="77"/>
      <c r="Q77" s="79">
        <v>46418</v>
      </c>
      <c r="R77" s="79">
        <v>46446</v>
      </c>
      <c r="S77" s="79">
        <v>46477</v>
      </c>
      <c r="T77" s="79">
        <v>46507</v>
      </c>
      <c r="U77" s="79">
        <v>46538</v>
      </c>
      <c r="V77" s="79">
        <v>46568</v>
      </c>
      <c r="W77" s="79">
        <v>46599</v>
      </c>
      <c r="X77" s="79">
        <v>46630</v>
      </c>
      <c r="Y77" s="79">
        <v>46660</v>
      </c>
      <c r="Z77" s="79">
        <v>46691</v>
      </c>
      <c r="AA77" s="79">
        <v>46721</v>
      </c>
      <c r="AB77" s="79">
        <v>46752</v>
      </c>
      <c r="AC77" s="77"/>
      <c r="AD77" s="79">
        <v>46783</v>
      </c>
      <c r="AE77" s="79">
        <v>46811</v>
      </c>
      <c r="AF77" s="79">
        <v>46839</v>
      </c>
      <c r="AG77" s="79">
        <v>46867</v>
      </c>
      <c r="AH77" s="79">
        <v>46895</v>
      </c>
      <c r="AI77" s="79">
        <v>46923</v>
      </c>
      <c r="AJ77" s="79">
        <v>46951</v>
      </c>
      <c r="AK77" s="79">
        <v>46979</v>
      </c>
      <c r="AL77" s="79">
        <v>47007</v>
      </c>
      <c r="AM77" s="79">
        <v>47035</v>
      </c>
      <c r="AN77" s="79">
        <v>47063</v>
      </c>
      <c r="AO77" s="79">
        <v>47091</v>
      </c>
    </row>
    <row r="78" spans="2:41" s="73" customFormat="1" ht="13.5" customHeight="1" x14ac:dyDescent="0.3">
      <c r="C78" s="77">
        <v>180000</v>
      </c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>
        <v>96000</v>
      </c>
      <c r="AC78" s="77">
        <v>160000</v>
      </c>
    </row>
    <row r="79" spans="2:41" s="77" customFormat="1" ht="13.5" customHeight="1" x14ac:dyDescent="0.3">
      <c r="B79" s="84" t="s">
        <v>289</v>
      </c>
      <c r="C79" s="85">
        <f>SAISIE!C41</f>
        <v>0</v>
      </c>
      <c r="D79" s="84">
        <f>SAISIE!$C$41/12</f>
        <v>0</v>
      </c>
      <c r="E79" s="84">
        <f>SAISIE!$C$41/12</f>
        <v>0</v>
      </c>
      <c r="F79" s="84">
        <f>SAISIE!$C$41/12</f>
        <v>0</v>
      </c>
      <c r="G79" s="84">
        <f>SAISIE!$C$41/12</f>
        <v>0</v>
      </c>
      <c r="H79" s="84">
        <f>SAISIE!$C$41/12</f>
        <v>0</v>
      </c>
      <c r="I79" s="84">
        <f>SAISIE!$C$41/12</f>
        <v>0</v>
      </c>
      <c r="J79" s="84">
        <f>SAISIE!$C$41/12</f>
        <v>0</v>
      </c>
      <c r="K79" s="84">
        <f>SAISIE!$C$41/12</f>
        <v>0</v>
      </c>
      <c r="L79" s="84">
        <f>SAISIE!$C$41/12</f>
        <v>0</v>
      </c>
      <c r="M79" s="84">
        <f>SAISIE!$C$41/12</f>
        <v>0</v>
      </c>
      <c r="N79" s="84">
        <f>SAISIE!$C$41/12</f>
        <v>0</v>
      </c>
      <c r="O79" s="84">
        <f>SAISIE!$C$41/12</f>
        <v>0</v>
      </c>
      <c r="P79" s="85">
        <f>SAISIE!D41</f>
        <v>0</v>
      </c>
      <c r="Q79" s="84">
        <f>SAISIE!$D$41/12</f>
        <v>0</v>
      </c>
      <c r="R79" s="84">
        <f>SAISIE!$D$41/12</f>
        <v>0</v>
      </c>
      <c r="S79" s="84">
        <f>SAISIE!$D$41/12</f>
        <v>0</v>
      </c>
      <c r="T79" s="84">
        <f>SAISIE!$D$41/12</f>
        <v>0</v>
      </c>
      <c r="U79" s="84">
        <f>SAISIE!$D$41/12</f>
        <v>0</v>
      </c>
      <c r="V79" s="84">
        <f>SAISIE!$D$41/12</f>
        <v>0</v>
      </c>
      <c r="W79" s="84">
        <f>SAISIE!$D$41/12</f>
        <v>0</v>
      </c>
      <c r="X79" s="84">
        <f>SAISIE!$D$41/12</f>
        <v>0</v>
      </c>
      <c r="Y79" s="84">
        <f>SAISIE!$D$41/12</f>
        <v>0</v>
      </c>
      <c r="Z79" s="84">
        <f>SAISIE!$D$41/12</f>
        <v>0</v>
      </c>
      <c r="AA79" s="84">
        <f>SAISIE!$D$41/12</f>
        <v>0</v>
      </c>
      <c r="AB79" s="84">
        <f>SAISIE!$D$41/12</f>
        <v>0</v>
      </c>
      <c r="AC79" s="85">
        <f>SAISIE!E41</f>
        <v>0</v>
      </c>
      <c r="AD79" s="84">
        <f>SAISIE!$E$41/12</f>
        <v>0</v>
      </c>
      <c r="AE79" s="84">
        <f>SAISIE!$E$41/12</f>
        <v>0</v>
      </c>
      <c r="AF79" s="84">
        <f>SAISIE!$E$41/12</f>
        <v>0</v>
      </c>
      <c r="AG79" s="84">
        <f>SAISIE!$E$41/12</f>
        <v>0</v>
      </c>
      <c r="AH79" s="84">
        <f>SAISIE!$E$41/12</f>
        <v>0</v>
      </c>
      <c r="AI79" s="84">
        <f>SAISIE!$E$41/12</f>
        <v>0</v>
      </c>
      <c r="AJ79" s="84">
        <f>SAISIE!$E$41/12</f>
        <v>0</v>
      </c>
      <c r="AK79" s="84">
        <f>SAISIE!$E$41/12</f>
        <v>0</v>
      </c>
      <c r="AL79" s="84">
        <f>SAISIE!$E$41/12</f>
        <v>0</v>
      </c>
      <c r="AM79" s="84">
        <f>SAISIE!$E$41/12</f>
        <v>0</v>
      </c>
      <c r="AN79" s="84">
        <f>SAISIE!$E$41/12</f>
        <v>0</v>
      </c>
      <c r="AO79" s="84">
        <f>SAISIE!$E$41/12</f>
        <v>0</v>
      </c>
    </row>
    <row r="80" spans="2:41" s="77" customFormat="1" ht="13.5" customHeight="1" x14ac:dyDescent="0.3">
      <c r="B80" s="84" t="s">
        <v>99</v>
      </c>
      <c r="C80" s="85">
        <f>SAISIE!C42</f>
        <v>0</v>
      </c>
      <c r="D80" s="84">
        <f>SAISIE!$C$42/12</f>
        <v>0</v>
      </c>
      <c r="E80" s="84">
        <f>SAISIE!$C$42/12</f>
        <v>0</v>
      </c>
      <c r="F80" s="84">
        <f>SAISIE!$C$42/12</f>
        <v>0</v>
      </c>
      <c r="G80" s="84">
        <f>SAISIE!$C$42/12</f>
        <v>0</v>
      </c>
      <c r="H80" s="84">
        <f>SAISIE!$C$42/12</f>
        <v>0</v>
      </c>
      <c r="I80" s="84">
        <f>SAISIE!$C$42/12</f>
        <v>0</v>
      </c>
      <c r="J80" s="84">
        <f>SAISIE!$C$42/12</f>
        <v>0</v>
      </c>
      <c r="K80" s="84">
        <f>SAISIE!$C$42/12</f>
        <v>0</v>
      </c>
      <c r="L80" s="84">
        <f>SAISIE!$C$42/12</f>
        <v>0</v>
      </c>
      <c r="M80" s="84">
        <f>SAISIE!$C$42/12</f>
        <v>0</v>
      </c>
      <c r="N80" s="84">
        <f>SAISIE!$C$42/12</f>
        <v>0</v>
      </c>
      <c r="O80" s="84">
        <f>SAISIE!$C$42/12</f>
        <v>0</v>
      </c>
      <c r="P80" s="85">
        <f>SAISIE!D42</f>
        <v>0</v>
      </c>
      <c r="Q80" s="84">
        <f>SAISIE!$D$42/12</f>
        <v>0</v>
      </c>
      <c r="R80" s="84">
        <f>SAISIE!$D$42/12</f>
        <v>0</v>
      </c>
      <c r="S80" s="84">
        <f>SAISIE!$D$42/12</f>
        <v>0</v>
      </c>
      <c r="T80" s="84">
        <f>SAISIE!$D$42/12</f>
        <v>0</v>
      </c>
      <c r="U80" s="84">
        <f>SAISIE!$D$42/12</f>
        <v>0</v>
      </c>
      <c r="V80" s="84">
        <f>SAISIE!$D$42/12</f>
        <v>0</v>
      </c>
      <c r="W80" s="84">
        <f>SAISIE!$D$42/12</f>
        <v>0</v>
      </c>
      <c r="X80" s="84">
        <f>SAISIE!$D$42/12</f>
        <v>0</v>
      </c>
      <c r="Y80" s="84">
        <f>SAISIE!$D$42/12</f>
        <v>0</v>
      </c>
      <c r="Z80" s="84">
        <f>SAISIE!$D$42/12</f>
        <v>0</v>
      </c>
      <c r="AA80" s="84">
        <f>SAISIE!$D$42/12</f>
        <v>0</v>
      </c>
      <c r="AB80" s="84">
        <f>SAISIE!$D$42/12</f>
        <v>0</v>
      </c>
      <c r="AC80" s="85">
        <f>SAISIE!E42</f>
        <v>0</v>
      </c>
      <c r="AD80" s="84">
        <f>SAISIE!$E$42/12</f>
        <v>0</v>
      </c>
      <c r="AE80" s="84">
        <f>SAISIE!$E$42/12</f>
        <v>0</v>
      </c>
      <c r="AF80" s="84">
        <f>SAISIE!$E$42/12</f>
        <v>0</v>
      </c>
      <c r="AG80" s="84">
        <f>SAISIE!$E$42/12</f>
        <v>0</v>
      </c>
      <c r="AH80" s="84">
        <f>SAISIE!$E$42/12</f>
        <v>0</v>
      </c>
      <c r="AI80" s="84">
        <f>SAISIE!$E$42/12</f>
        <v>0</v>
      </c>
      <c r="AJ80" s="84">
        <f>SAISIE!$E$42/12</f>
        <v>0</v>
      </c>
      <c r="AK80" s="84">
        <f>SAISIE!$E$42/12</f>
        <v>0</v>
      </c>
      <c r="AL80" s="84">
        <f>SAISIE!$E$42/12</f>
        <v>0</v>
      </c>
      <c r="AM80" s="84">
        <f>SAISIE!$E$42/12</f>
        <v>0</v>
      </c>
      <c r="AN80" s="84">
        <f>SAISIE!$E$42/12</f>
        <v>0</v>
      </c>
      <c r="AO80" s="84">
        <f>SAISIE!$E$42/12</f>
        <v>0</v>
      </c>
    </row>
    <row r="81" spans="2:41" s="77" customFormat="1" ht="13.5" customHeight="1" x14ac:dyDescent="0.3">
      <c r="B81" s="84" t="s">
        <v>290</v>
      </c>
      <c r="C81" s="85">
        <f>SAISIE!C43</f>
        <v>1500</v>
      </c>
      <c r="D81" s="84">
        <f>SAISIE!$C$43/12</f>
        <v>125</v>
      </c>
      <c r="E81" s="84">
        <f>SAISIE!$C$43/12</f>
        <v>125</v>
      </c>
      <c r="F81" s="84">
        <f>SAISIE!$C$43/12</f>
        <v>125</v>
      </c>
      <c r="G81" s="84">
        <f>SAISIE!$C$43/12</f>
        <v>125</v>
      </c>
      <c r="H81" s="84">
        <f>SAISIE!$C$43/12</f>
        <v>125</v>
      </c>
      <c r="I81" s="84">
        <f>SAISIE!$C$43/12</f>
        <v>125</v>
      </c>
      <c r="J81" s="84">
        <f>SAISIE!$C$43/12</f>
        <v>125</v>
      </c>
      <c r="K81" s="84">
        <f>SAISIE!$C$43/12</f>
        <v>125</v>
      </c>
      <c r="L81" s="84">
        <f>SAISIE!$C$43/12</f>
        <v>125</v>
      </c>
      <c r="M81" s="84">
        <f>SAISIE!$C$43/12</f>
        <v>125</v>
      </c>
      <c r="N81" s="84">
        <f>SAISIE!$C$43/12</f>
        <v>125</v>
      </c>
      <c r="O81" s="84">
        <f>SAISIE!$C$43/12</f>
        <v>125</v>
      </c>
      <c r="P81" s="85">
        <f>SAISIE!D43</f>
        <v>500</v>
      </c>
      <c r="Q81" s="84">
        <f>SAISIE!$D$43/12</f>
        <v>41.666666666666664</v>
      </c>
      <c r="R81" s="84">
        <f>SAISIE!$D$43/12</f>
        <v>41.666666666666664</v>
      </c>
      <c r="S81" s="84">
        <f>SAISIE!$D$43/12</f>
        <v>41.666666666666664</v>
      </c>
      <c r="T81" s="84">
        <f>SAISIE!$D$43/12</f>
        <v>41.666666666666664</v>
      </c>
      <c r="U81" s="84">
        <f>SAISIE!$D$43/12</f>
        <v>41.666666666666664</v>
      </c>
      <c r="V81" s="84">
        <f>SAISIE!$D$43/12</f>
        <v>41.666666666666664</v>
      </c>
      <c r="W81" s="84">
        <f>SAISIE!$D$43/12</f>
        <v>41.666666666666664</v>
      </c>
      <c r="X81" s="84">
        <f>SAISIE!$D$43/12</f>
        <v>41.666666666666664</v>
      </c>
      <c r="Y81" s="84">
        <f>SAISIE!$D$43/12</f>
        <v>41.666666666666664</v>
      </c>
      <c r="Z81" s="84">
        <f>SAISIE!$D$43/12</f>
        <v>41.666666666666664</v>
      </c>
      <c r="AA81" s="84">
        <f>SAISIE!$D$43/12</f>
        <v>41.666666666666664</v>
      </c>
      <c r="AB81" s="84">
        <f>SAISIE!$D$43/12</f>
        <v>41.666666666666664</v>
      </c>
      <c r="AC81" s="85">
        <f>SAISIE!E43</f>
        <v>500</v>
      </c>
      <c r="AD81" s="84">
        <f>SAISIE!$E$43/12</f>
        <v>41.666666666666664</v>
      </c>
      <c r="AE81" s="84">
        <f>SAISIE!$E$43/12</f>
        <v>41.666666666666664</v>
      </c>
      <c r="AF81" s="84">
        <f>SAISIE!$E$43/12</f>
        <v>41.666666666666664</v>
      </c>
      <c r="AG81" s="84">
        <f>SAISIE!$E$43/12</f>
        <v>41.666666666666664</v>
      </c>
      <c r="AH81" s="84">
        <f>SAISIE!$E$43/12</f>
        <v>41.666666666666664</v>
      </c>
      <c r="AI81" s="84">
        <f>SAISIE!$E$43/12</f>
        <v>41.666666666666664</v>
      </c>
      <c r="AJ81" s="84">
        <f>SAISIE!$E$43/12</f>
        <v>41.666666666666664</v>
      </c>
      <c r="AK81" s="84">
        <f>SAISIE!$E$43/12</f>
        <v>41.666666666666664</v>
      </c>
      <c r="AL81" s="84">
        <f>SAISIE!$E$43/12</f>
        <v>41.666666666666664</v>
      </c>
      <c r="AM81" s="84">
        <f>SAISIE!$E$43/12</f>
        <v>41.666666666666664</v>
      </c>
      <c r="AN81" s="84">
        <f>SAISIE!$E$43/12</f>
        <v>41.666666666666664</v>
      </c>
      <c r="AO81" s="84">
        <f>SAISIE!$E$43/12</f>
        <v>41.666666666666664</v>
      </c>
    </row>
    <row r="82" spans="2:41" s="77" customFormat="1" ht="13.5" customHeight="1" x14ac:dyDescent="0.3">
      <c r="B82" s="84" t="s">
        <v>291</v>
      </c>
      <c r="C82" s="85">
        <f>SAISIE!C44</f>
        <v>4000</v>
      </c>
      <c r="D82" s="84">
        <f>SAISIE!$C$44/12</f>
        <v>333.33333333333331</v>
      </c>
      <c r="E82" s="84">
        <f>SAISIE!$C$44/12</f>
        <v>333.33333333333331</v>
      </c>
      <c r="F82" s="84">
        <f>SAISIE!$C$44/12</f>
        <v>333.33333333333331</v>
      </c>
      <c r="G82" s="84">
        <f>SAISIE!$C$44/12</f>
        <v>333.33333333333331</v>
      </c>
      <c r="H82" s="84">
        <f>SAISIE!$C$44/12</f>
        <v>333.33333333333331</v>
      </c>
      <c r="I82" s="84">
        <f>SAISIE!$C$44/12</f>
        <v>333.33333333333331</v>
      </c>
      <c r="J82" s="84">
        <f>SAISIE!$C$44/12</f>
        <v>333.33333333333331</v>
      </c>
      <c r="K82" s="84">
        <f>SAISIE!$C$44/12</f>
        <v>333.33333333333331</v>
      </c>
      <c r="L82" s="84">
        <f>SAISIE!$C$44/12</f>
        <v>333.33333333333331</v>
      </c>
      <c r="M82" s="84">
        <f>SAISIE!$C$44/12</f>
        <v>333.33333333333331</v>
      </c>
      <c r="N82" s="84">
        <f>SAISIE!$C$44/12</f>
        <v>333.33333333333331</v>
      </c>
      <c r="O82" s="84">
        <f>SAISIE!$C$44/12</f>
        <v>333.33333333333331</v>
      </c>
      <c r="P82" s="85">
        <f>SAISIE!D44</f>
        <v>1500</v>
      </c>
      <c r="Q82" s="84">
        <f>SAISIE!$D$44/12</f>
        <v>125</v>
      </c>
      <c r="R82" s="84">
        <f>SAISIE!$D$44/12</f>
        <v>125</v>
      </c>
      <c r="S82" s="84">
        <f>SAISIE!$D$44/12</f>
        <v>125</v>
      </c>
      <c r="T82" s="84">
        <f>SAISIE!$D$44/12</f>
        <v>125</v>
      </c>
      <c r="U82" s="84">
        <f>SAISIE!$D$44/12</f>
        <v>125</v>
      </c>
      <c r="V82" s="84">
        <f>SAISIE!$D$44/12</f>
        <v>125</v>
      </c>
      <c r="W82" s="84">
        <f>SAISIE!$D$44/12</f>
        <v>125</v>
      </c>
      <c r="X82" s="84">
        <f>SAISIE!$D$44/12</f>
        <v>125</v>
      </c>
      <c r="Y82" s="84">
        <f>SAISIE!$D$44/12</f>
        <v>125</v>
      </c>
      <c r="Z82" s="84">
        <f>SAISIE!$D$44/12</f>
        <v>125</v>
      </c>
      <c r="AA82" s="84">
        <f>SAISIE!$D$44/12</f>
        <v>125</v>
      </c>
      <c r="AB82" s="84">
        <f>SAISIE!$D$44/12</f>
        <v>125</v>
      </c>
      <c r="AC82" s="85">
        <f>SAISIE!E44</f>
        <v>2000</v>
      </c>
      <c r="AD82" s="84">
        <f>SAISIE!$E$44/12</f>
        <v>166.66666666666666</v>
      </c>
      <c r="AE82" s="84">
        <f>SAISIE!$E$44/12</f>
        <v>166.66666666666666</v>
      </c>
      <c r="AF82" s="84">
        <f>SAISIE!$E$44/12</f>
        <v>166.66666666666666</v>
      </c>
      <c r="AG82" s="84">
        <f>SAISIE!$E$44/12</f>
        <v>166.66666666666666</v>
      </c>
      <c r="AH82" s="84">
        <f>SAISIE!$E$44/12</f>
        <v>166.66666666666666</v>
      </c>
      <c r="AI82" s="84">
        <f>SAISIE!$E$44/12</f>
        <v>166.66666666666666</v>
      </c>
      <c r="AJ82" s="84">
        <f>SAISIE!$E$44/12</f>
        <v>166.66666666666666</v>
      </c>
      <c r="AK82" s="84">
        <f>SAISIE!$E$44/12</f>
        <v>166.66666666666666</v>
      </c>
      <c r="AL82" s="84">
        <f>SAISIE!$E$44/12</f>
        <v>166.66666666666666</v>
      </c>
      <c r="AM82" s="84">
        <f>SAISIE!$E$44/12</f>
        <v>166.66666666666666</v>
      </c>
      <c r="AN82" s="84">
        <f>SAISIE!$E$44/12</f>
        <v>166.66666666666666</v>
      </c>
      <c r="AO82" s="84">
        <f>SAISIE!$E$44/12</f>
        <v>166.66666666666666</v>
      </c>
    </row>
    <row r="83" spans="2:41" s="99" customFormat="1" ht="13.5" customHeight="1" x14ac:dyDescent="0.3">
      <c r="B83" s="84" t="s">
        <v>292</v>
      </c>
      <c r="C83" s="85">
        <f>SUM(D83:O83)</f>
        <v>0</v>
      </c>
      <c r="D83" s="84">
        <v>0</v>
      </c>
      <c r="E83" s="84">
        <v>0</v>
      </c>
      <c r="F83" s="84">
        <v>0</v>
      </c>
      <c r="G83" s="84">
        <v>0</v>
      </c>
      <c r="H83" s="84">
        <v>0</v>
      </c>
      <c r="I83" s="84">
        <v>0</v>
      </c>
      <c r="J83" s="84">
        <v>0</v>
      </c>
      <c r="K83" s="84">
        <v>0</v>
      </c>
      <c r="L83" s="84">
        <v>0</v>
      </c>
      <c r="M83" s="84">
        <v>0</v>
      </c>
      <c r="N83" s="84">
        <v>0</v>
      </c>
      <c r="O83" s="84">
        <v>0</v>
      </c>
      <c r="P83" s="85">
        <f>SUM(Q83:AB83)</f>
        <v>0</v>
      </c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5">
        <f>SUM(AD83:AO83)</f>
        <v>0</v>
      </c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</row>
    <row r="84" spans="2:41" s="77" customFormat="1" ht="13.5" customHeight="1" x14ac:dyDescent="0.3">
      <c r="B84" s="84" t="s">
        <v>293</v>
      </c>
      <c r="C84" s="85">
        <f>SUM(D84:O84)</f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5">
        <f>SUM(Q84:AB84)</f>
        <v>0</v>
      </c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5">
        <f>SUM(AD84:AO84)</f>
        <v>0</v>
      </c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</row>
    <row r="85" spans="2:41" s="75" customFormat="1" ht="13.5" customHeight="1" x14ac:dyDescent="0.3">
      <c r="B85" s="80" t="s">
        <v>294</v>
      </c>
      <c r="C85" s="80">
        <f>SUM(D85:O85)</f>
        <v>5499.9999999999991</v>
      </c>
      <c r="D85" s="80">
        <f t="shared" ref="D85:O85" si="36">SUM(D79:D84)</f>
        <v>458.33333333333331</v>
      </c>
      <c r="E85" s="80">
        <f t="shared" si="36"/>
        <v>458.33333333333331</v>
      </c>
      <c r="F85" s="80">
        <f t="shared" si="36"/>
        <v>458.33333333333331</v>
      </c>
      <c r="G85" s="80">
        <f t="shared" si="36"/>
        <v>458.33333333333331</v>
      </c>
      <c r="H85" s="80">
        <f t="shared" si="36"/>
        <v>458.33333333333331</v>
      </c>
      <c r="I85" s="80">
        <f t="shared" si="36"/>
        <v>458.33333333333331</v>
      </c>
      <c r="J85" s="80">
        <f t="shared" si="36"/>
        <v>458.33333333333331</v>
      </c>
      <c r="K85" s="80">
        <f t="shared" si="36"/>
        <v>458.33333333333331</v>
      </c>
      <c r="L85" s="80">
        <f t="shared" si="36"/>
        <v>458.33333333333331</v>
      </c>
      <c r="M85" s="80">
        <f t="shared" si="36"/>
        <v>458.33333333333331</v>
      </c>
      <c r="N85" s="80">
        <f t="shared" si="36"/>
        <v>458.33333333333331</v>
      </c>
      <c r="O85" s="80">
        <f t="shared" si="36"/>
        <v>458.33333333333331</v>
      </c>
      <c r="P85" s="80">
        <f>SUM(Q85:AB85)</f>
        <v>2000.0000000000002</v>
      </c>
      <c r="Q85" s="80">
        <f t="shared" ref="Q85:AB85" si="37">SUM(Q79:Q84)</f>
        <v>166.66666666666666</v>
      </c>
      <c r="R85" s="80">
        <f t="shared" si="37"/>
        <v>166.66666666666666</v>
      </c>
      <c r="S85" s="80">
        <f t="shared" si="37"/>
        <v>166.66666666666666</v>
      </c>
      <c r="T85" s="80">
        <f t="shared" si="37"/>
        <v>166.66666666666666</v>
      </c>
      <c r="U85" s="80">
        <f t="shared" si="37"/>
        <v>166.66666666666666</v>
      </c>
      <c r="V85" s="80">
        <f t="shared" si="37"/>
        <v>166.66666666666666</v>
      </c>
      <c r="W85" s="80">
        <f t="shared" si="37"/>
        <v>166.66666666666666</v>
      </c>
      <c r="X85" s="80">
        <f t="shared" si="37"/>
        <v>166.66666666666666</v>
      </c>
      <c r="Y85" s="80">
        <f t="shared" si="37"/>
        <v>166.66666666666666</v>
      </c>
      <c r="Z85" s="80">
        <f t="shared" si="37"/>
        <v>166.66666666666666</v>
      </c>
      <c r="AA85" s="80">
        <f t="shared" si="37"/>
        <v>166.66666666666666</v>
      </c>
      <c r="AB85" s="80">
        <f t="shared" si="37"/>
        <v>166.66666666666666</v>
      </c>
      <c r="AC85" s="80">
        <f>SUM(AD85:AO85)</f>
        <v>2500</v>
      </c>
      <c r="AD85" s="80">
        <f t="shared" ref="AD85:AO85" si="38">SUM(AD79:AD84)</f>
        <v>208.33333333333331</v>
      </c>
      <c r="AE85" s="80">
        <f t="shared" si="38"/>
        <v>208.33333333333331</v>
      </c>
      <c r="AF85" s="80">
        <f t="shared" si="38"/>
        <v>208.33333333333331</v>
      </c>
      <c r="AG85" s="80">
        <f t="shared" si="38"/>
        <v>208.33333333333331</v>
      </c>
      <c r="AH85" s="80">
        <f t="shared" si="38"/>
        <v>208.33333333333331</v>
      </c>
      <c r="AI85" s="80">
        <f t="shared" si="38"/>
        <v>208.33333333333331</v>
      </c>
      <c r="AJ85" s="80">
        <f t="shared" si="38"/>
        <v>208.33333333333331</v>
      </c>
      <c r="AK85" s="80">
        <f t="shared" si="38"/>
        <v>208.33333333333331</v>
      </c>
      <c r="AL85" s="80">
        <f t="shared" si="38"/>
        <v>208.33333333333331</v>
      </c>
      <c r="AM85" s="80">
        <f t="shared" si="38"/>
        <v>208.33333333333331</v>
      </c>
      <c r="AN85" s="80">
        <f t="shared" si="38"/>
        <v>208.33333333333331</v>
      </c>
      <c r="AO85" s="80">
        <f t="shared" si="38"/>
        <v>208.33333333333331</v>
      </c>
    </row>
    <row r="86" spans="2:41" s="77" customFormat="1" ht="13.5" customHeight="1" x14ac:dyDescent="0.3"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</row>
    <row r="87" spans="2:41" s="77" customFormat="1" ht="13.5" customHeight="1" x14ac:dyDescent="0.3">
      <c r="B87" s="108" t="s">
        <v>295</v>
      </c>
      <c r="C87" s="80">
        <f>SUM(D87:O87)</f>
        <v>1833.3333333333337</v>
      </c>
      <c r="D87" s="84">
        <f t="shared" ref="D87:AO87" si="39">+D85/3</f>
        <v>152.77777777777777</v>
      </c>
      <c r="E87" s="84">
        <f t="shared" si="39"/>
        <v>152.77777777777777</v>
      </c>
      <c r="F87" s="84">
        <f t="shared" si="39"/>
        <v>152.77777777777777</v>
      </c>
      <c r="G87" s="84">
        <f t="shared" si="39"/>
        <v>152.77777777777777</v>
      </c>
      <c r="H87" s="84">
        <f t="shared" si="39"/>
        <v>152.77777777777777</v>
      </c>
      <c r="I87" s="84">
        <f t="shared" si="39"/>
        <v>152.77777777777777</v>
      </c>
      <c r="J87" s="84">
        <f t="shared" si="39"/>
        <v>152.77777777777777</v>
      </c>
      <c r="K87" s="84">
        <f t="shared" si="39"/>
        <v>152.77777777777777</v>
      </c>
      <c r="L87" s="84">
        <f t="shared" si="39"/>
        <v>152.77777777777777</v>
      </c>
      <c r="M87" s="84">
        <f t="shared" si="39"/>
        <v>152.77777777777777</v>
      </c>
      <c r="N87" s="84">
        <f t="shared" si="39"/>
        <v>152.77777777777777</v>
      </c>
      <c r="O87" s="84">
        <f t="shared" si="39"/>
        <v>152.77777777777777</v>
      </c>
      <c r="P87" s="85">
        <f t="shared" si="39"/>
        <v>666.66666666666674</v>
      </c>
      <c r="Q87" s="84">
        <f t="shared" si="39"/>
        <v>55.55555555555555</v>
      </c>
      <c r="R87" s="84">
        <f t="shared" si="39"/>
        <v>55.55555555555555</v>
      </c>
      <c r="S87" s="84">
        <f t="shared" si="39"/>
        <v>55.55555555555555</v>
      </c>
      <c r="T87" s="84">
        <f t="shared" si="39"/>
        <v>55.55555555555555</v>
      </c>
      <c r="U87" s="84">
        <f t="shared" si="39"/>
        <v>55.55555555555555</v>
      </c>
      <c r="V87" s="84">
        <f t="shared" si="39"/>
        <v>55.55555555555555</v>
      </c>
      <c r="W87" s="84">
        <f t="shared" si="39"/>
        <v>55.55555555555555</v>
      </c>
      <c r="X87" s="84">
        <f t="shared" si="39"/>
        <v>55.55555555555555</v>
      </c>
      <c r="Y87" s="84">
        <f t="shared" si="39"/>
        <v>55.55555555555555</v>
      </c>
      <c r="Z87" s="84">
        <f t="shared" si="39"/>
        <v>55.55555555555555</v>
      </c>
      <c r="AA87" s="84">
        <f t="shared" si="39"/>
        <v>55.55555555555555</v>
      </c>
      <c r="AB87" s="84">
        <f t="shared" si="39"/>
        <v>55.55555555555555</v>
      </c>
      <c r="AC87" s="85">
        <f t="shared" si="39"/>
        <v>833.33333333333337</v>
      </c>
      <c r="AD87" s="84">
        <f t="shared" si="39"/>
        <v>69.444444444444443</v>
      </c>
      <c r="AE87" s="84">
        <f t="shared" si="39"/>
        <v>69.444444444444443</v>
      </c>
      <c r="AF87" s="84">
        <f t="shared" si="39"/>
        <v>69.444444444444443</v>
      </c>
      <c r="AG87" s="84">
        <f t="shared" si="39"/>
        <v>69.444444444444443</v>
      </c>
      <c r="AH87" s="84">
        <f t="shared" si="39"/>
        <v>69.444444444444443</v>
      </c>
      <c r="AI87" s="84">
        <f t="shared" si="39"/>
        <v>69.444444444444443</v>
      </c>
      <c r="AJ87" s="84">
        <f t="shared" si="39"/>
        <v>69.444444444444443</v>
      </c>
      <c r="AK87" s="84">
        <f t="shared" si="39"/>
        <v>69.444444444444443</v>
      </c>
      <c r="AL87" s="84">
        <f t="shared" si="39"/>
        <v>69.444444444444443</v>
      </c>
      <c r="AM87" s="84">
        <f t="shared" si="39"/>
        <v>69.444444444444443</v>
      </c>
      <c r="AN87" s="84">
        <f t="shared" si="39"/>
        <v>69.444444444444443</v>
      </c>
      <c r="AO87" s="84">
        <f t="shared" si="39"/>
        <v>69.444444444444443</v>
      </c>
    </row>
    <row r="88" spans="2:41" s="77" customFormat="1" ht="13.5" customHeight="1" x14ac:dyDescent="0.3">
      <c r="B88" s="108" t="s">
        <v>296</v>
      </c>
      <c r="C88" s="80">
        <f>SUM(D88:O88)</f>
        <v>1833.3333333333337</v>
      </c>
      <c r="D88" s="84">
        <f t="shared" ref="D88:AO88" si="40">+D87</f>
        <v>152.77777777777777</v>
      </c>
      <c r="E88" s="84">
        <f t="shared" si="40"/>
        <v>152.77777777777777</v>
      </c>
      <c r="F88" s="84">
        <f t="shared" si="40"/>
        <v>152.77777777777777</v>
      </c>
      <c r="G88" s="84">
        <f t="shared" si="40"/>
        <v>152.77777777777777</v>
      </c>
      <c r="H88" s="84">
        <f t="shared" si="40"/>
        <v>152.77777777777777</v>
      </c>
      <c r="I88" s="84">
        <f t="shared" si="40"/>
        <v>152.77777777777777</v>
      </c>
      <c r="J88" s="84">
        <f t="shared" si="40"/>
        <v>152.77777777777777</v>
      </c>
      <c r="K88" s="84">
        <f t="shared" si="40"/>
        <v>152.77777777777777</v>
      </c>
      <c r="L88" s="84">
        <f t="shared" si="40"/>
        <v>152.77777777777777</v>
      </c>
      <c r="M88" s="84">
        <f t="shared" si="40"/>
        <v>152.77777777777777</v>
      </c>
      <c r="N88" s="84">
        <f t="shared" si="40"/>
        <v>152.77777777777777</v>
      </c>
      <c r="O88" s="84">
        <f t="shared" si="40"/>
        <v>152.77777777777777</v>
      </c>
      <c r="P88" s="85">
        <f t="shared" si="40"/>
        <v>666.66666666666674</v>
      </c>
      <c r="Q88" s="84">
        <f t="shared" si="40"/>
        <v>55.55555555555555</v>
      </c>
      <c r="R88" s="84">
        <f t="shared" si="40"/>
        <v>55.55555555555555</v>
      </c>
      <c r="S88" s="84">
        <f t="shared" si="40"/>
        <v>55.55555555555555</v>
      </c>
      <c r="T88" s="84">
        <f t="shared" si="40"/>
        <v>55.55555555555555</v>
      </c>
      <c r="U88" s="84">
        <f t="shared" si="40"/>
        <v>55.55555555555555</v>
      </c>
      <c r="V88" s="84">
        <f t="shared" si="40"/>
        <v>55.55555555555555</v>
      </c>
      <c r="W88" s="84">
        <f t="shared" si="40"/>
        <v>55.55555555555555</v>
      </c>
      <c r="X88" s="84">
        <f t="shared" si="40"/>
        <v>55.55555555555555</v>
      </c>
      <c r="Y88" s="84">
        <f t="shared" si="40"/>
        <v>55.55555555555555</v>
      </c>
      <c r="Z88" s="84">
        <f t="shared" si="40"/>
        <v>55.55555555555555</v>
      </c>
      <c r="AA88" s="84">
        <f t="shared" si="40"/>
        <v>55.55555555555555</v>
      </c>
      <c r="AB88" s="84">
        <f t="shared" si="40"/>
        <v>55.55555555555555</v>
      </c>
      <c r="AC88" s="85">
        <f t="shared" si="40"/>
        <v>833.33333333333337</v>
      </c>
      <c r="AD88" s="84">
        <f t="shared" si="40"/>
        <v>69.444444444444443</v>
      </c>
      <c r="AE88" s="84">
        <f t="shared" si="40"/>
        <v>69.444444444444443</v>
      </c>
      <c r="AF88" s="84">
        <f t="shared" si="40"/>
        <v>69.444444444444443</v>
      </c>
      <c r="AG88" s="84">
        <f t="shared" si="40"/>
        <v>69.444444444444443</v>
      </c>
      <c r="AH88" s="84">
        <f t="shared" si="40"/>
        <v>69.444444444444443</v>
      </c>
      <c r="AI88" s="84">
        <f t="shared" si="40"/>
        <v>69.444444444444443</v>
      </c>
      <c r="AJ88" s="84">
        <f t="shared" si="40"/>
        <v>69.444444444444443</v>
      </c>
      <c r="AK88" s="84">
        <f t="shared" si="40"/>
        <v>69.444444444444443</v>
      </c>
      <c r="AL88" s="84">
        <f t="shared" si="40"/>
        <v>69.444444444444443</v>
      </c>
      <c r="AM88" s="84">
        <f t="shared" si="40"/>
        <v>69.444444444444443</v>
      </c>
      <c r="AN88" s="84">
        <f t="shared" si="40"/>
        <v>69.444444444444443</v>
      </c>
      <c r="AO88" s="84">
        <f t="shared" si="40"/>
        <v>69.444444444444443</v>
      </c>
    </row>
    <row r="89" spans="2:41" s="77" customFormat="1" ht="13.5" customHeight="1" x14ac:dyDescent="0.3">
      <c r="B89" s="108" t="s">
        <v>297</v>
      </c>
      <c r="C89" s="80">
        <f>C87-C88</f>
        <v>0</v>
      </c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0">
        <f>P87-P88</f>
        <v>0</v>
      </c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0">
        <f>AC87-AC88</f>
        <v>0</v>
      </c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</row>
    <row r="90" spans="2:41" s="77" customFormat="1" ht="13.5" customHeight="1" x14ac:dyDescent="0.3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</row>
    <row r="91" spans="2:41" s="77" customFormat="1" ht="13.5" customHeight="1" x14ac:dyDescent="0.3">
      <c r="B91" s="108" t="s">
        <v>298</v>
      </c>
      <c r="C91" s="80">
        <f>SUM(D91:O91)</f>
        <v>0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0">
        <f>SUM(Q91:AB91)</f>
        <v>0</v>
      </c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0">
        <f>SUM(AD91:AO91)</f>
        <v>0</v>
      </c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</row>
    <row r="92" spans="2:41" s="73" customFormat="1" ht="13.5" customHeight="1" x14ac:dyDescent="0.3">
      <c r="B92" s="76"/>
      <c r="C92" s="75"/>
      <c r="D92" s="76"/>
      <c r="E92" s="76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</row>
    <row r="93" spans="2:41" s="73" customFormat="1" ht="13.5" customHeight="1" x14ac:dyDescent="0.3">
      <c r="B93" s="76" t="s">
        <v>299</v>
      </c>
      <c r="C93" s="75"/>
      <c r="D93" s="76"/>
      <c r="E93" s="76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</row>
    <row r="94" spans="2:41" s="73" customFormat="1" ht="13.5" customHeight="1" x14ac:dyDescent="0.3">
      <c r="B94" s="76"/>
      <c r="C94" s="75"/>
      <c r="D94" s="76"/>
      <c r="E94" s="76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</row>
    <row r="95" spans="2:41" s="73" customFormat="1" ht="13.5" customHeight="1" x14ac:dyDescent="0.3">
      <c r="B95" s="74" t="s">
        <v>300</v>
      </c>
      <c r="C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AC95" s="77"/>
    </row>
    <row r="96" spans="2:41" s="73" customFormat="1" ht="13.5" customHeight="1" x14ac:dyDescent="0.3">
      <c r="B96" s="74"/>
      <c r="C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AC96" s="77"/>
    </row>
    <row r="97" spans="2:41" s="78" customFormat="1" ht="13.5" customHeight="1" x14ac:dyDescent="0.3">
      <c r="C97" s="77"/>
      <c r="D97" s="79">
        <v>46053</v>
      </c>
      <c r="E97" s="79">
        <v>46081</v>
      </c>
      <c r="F97" s="79">
        <v>46112</v>
      </c>
      <c r="G97" s="79">
        <v>46142</v>
      </c>
      <c r="H97" s="79">
        <v>46173</v>
      </c>
      <c r="I97" s="79">
        <v>46203</v>
      </c>
      <c r="J97" s="79">
        <v>46234</v>
      </c>
      <c r="K97" s="79">
        <v>46265</v>
      </c>
      <c r="L97" s="79">
        <v>46295</v>
      </c>
      <c r="M97" s="79">
        <v>46326</v>
      </c>
      <c r="N97" s="79">
        <v>46356</v>
      </c>
      <c r="O97" s="79">
        <v>46387</v>
      </c>
      <c r="P97" s="77"/>
      <c r="Q97" s="79">
        <v>46418</v>
      </c>
      <c r="R97" s="79">
        <v>46446</v>
      </c>
      <c r="S97" s="79">
        <v>46477</v>
      </c>
      <c r="T97" s="79">
        <v>46507</v>
      </c>
      <c r="U97" s="79">
        <v>46538</v>
      </c>
      <c r="V97" s="79">
        <v>46568</v>
      </c>
      <c r="W97" s="79">
        <v>46599</v>
      </c>
      <c r="X97" s="79">
        <v>46630</v>
      </c>
      <c r="Y97" s="79">
        <v>46660</v>
      </c>
      <c r="Z97" s="79">
        <v>46691</v>
      </c>
      <c r="AA97" s="79">
        <v>46721</v>
      </c>
      <c r="AB97" s="79">
        <v>46752</v>
      </c>
      <c r="AC97" s="77"/>
      <c r="AD97" s="79">
        <v>46783</v>
      </c>
      <c r="AE97" s="79">
        <v>46811</v>
      </c>
      <c r="AF97" s="79">
        <v>46839</v>
      </c>
      <c r="AG97" s="79">
        <v>46867</v>
      </c>
      <c r="AH97" s="79">
        <v>46895</v>
      </c>
      <c r="AI97" s="79">
        <v>46923</v>
      </c>
      <c r="AJ97" s="79">
        <v>46951</v>
      </c>
      <c r="AK97" s="79">
        <v>46979</v>
      </c>
      <c r="AL97" s="79">
        <v>47007</v>
      </c>
      <c r="AM97" s="79">
        <v>47035</v>
      </c>
      <c r="AN97" s="79">
        <v>47063</v>
      </c>
      <c r="AO97" s="79">
        <v>47091</v>
      </c>
    </row>
    <row r="98" spans="2:41" s="73" customFormat="1" ht="13.5" customHeight="1" x14ac:dyDescent="0.3">
      <c r="C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AC98" s="77"/>
    </row>
    <row r="99" spans="2:41" s="73" customFormat="1" ht="13.5" customHeight="1" x14ac:dyDescent="0.3">
      <c r="B99" s="109" t="s">
        <v>301</v>
      </c>
      <c r="C99" s="85">
        <f>SUM(D99:O99)</f>
        <v>0</v>
      </c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85">
        <f>SUM(Q99:AB99)</f>
        <v>0</v>
      </c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85">
        <f>SUM(AD99:AO99)</f>
        <v>0</v>
      </c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</row>
    <row r="100" spans="2:41" s="73" customFormat="1" ht="13.5" customHeight="1" x14ac:dyDescent="0.3">
      <c r="B100" s="95" t="s">
        <v>302</v>
      </c>
      <c r="C100" s="85">
        <f>SUM(D100:O100)</f>
        <v>0</v>
      </c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85">
        <f>SUM(Q100:AB100)</f>
        <v>0</v>
      </c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85">
        <f>SUM(AD100:AO100)</f>
        <v>0</v>
      </c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</row>
    <row r="101" spans="2:41" s="73" customFormat="1" ht="13.5" customHeight="1" x14ac:dyDescent="0.3">
      <c r="B101" s="109" t="s">
        <v>303</v>
      </c>
      <c r="C101" s="85">
        <f>SUM(D101:O101)</f>
        <v>0</v>
      </c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5">
        <f>SUM(Q101:AB101)</f>
        <v>0</v>
      </c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5">
        <f>SUM(AD101:AO101)</f>
        <v>0</v>
      </c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</row>
    <row r="102" spans="2:41" s="73" customFormat="1" ht="13.5" customHeight="1" x14ac:dyDescent="0.3">
      <c r="B102" s="95" t="s">
        <v>304</v>
      </c>
      <c r="C102" s="85">
        <f>SUM(D102:O102)</f>
        <v>0</v>
      </c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85">
        <f>SUM(Q102:AB102)</f>
        <v>0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85">
        <f>SUM(AD102:AO102)</f>
        <v>0</v>
      </c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</row>
    <row r="103" spans="2:41" s="76" customFormat="1" ht="13.5" customHeight="1" x14ac:dyDescent="0.3">
      <c r="B103" s="80" t="s">
        <v>305</v>
      </c>
      <c r="C103" s="80">
        <f t="shared" ref="C103:AO103" si="41">SUM(C99:C102)</f>
        <v>0</v>
      </c>
      <c r="D103" s="80">
        <f t="shared" si="41"/>
        <v>0</v>
      </c>
      <c r="E103" s="80">
        <f t="shared" si="41"/>
        <v>0</v>
      </c>
      <c r="F103" s="80">
        <f t="shared" si="41"/>
        <v>0</v>
      </c>
      <c r="G103" s="80">
        <f t="shared" si="41"/>
        <v>0</v>
      </c>
      <c r="H103" s="80">
        <f t="shared" si="41"/>
        <v>0</v>
      </c>
      <c r="I103" s="80">
        <f t="shared" si="41"/>
        <v>0</v>
      </c>
      <c r="J103" s="80">
        <f t="shared" si="41"/>
        <v>0</v>
      </c>
      <c r="K103" s="80">
        <f t="shared" si="41"/>
        <v>0</v>
      </c>
      <c r="L103" s="80">
        <f t="shared" si="41"/>
        <v>0</v>
      </c>
      <c r="M103" s="80">
        <f t="shared" si="41"/>
        <v>0</v>
      </c>
      <c r="N103" s="80">
        <f t="shared" si="41"/>
        <v>0</v>
      </c>
      <c r="O103" s="80">
        <f t="shared" si="41"/>
        <v>0</v>
      </c>
      <c r="P103" s="80">
        <f t="shared" si="41"/>
        <v>0</v>
      </c>
      <c r="Q103" s="80">
        <f t="shared" si="41"/>
        <v>0</v>
      </c>
      <c r="R103" s="80">
        <f t="shared" si="41"/>
        <v>0</v>
      </c>
      <c r="S103" s="80">
        <f t="shared" si="41"/>
        <v>0</v>
      </c>
      <c r="T103" s="80">
        <f t="shared" si="41"/>
        <v>0</v>
      </c>
      <c r="U103" s="80">
        <f t="shared" si="41"/>
        <v>0</v>
      </c>
      <c r="V103" s="80">
        <f t="shared" si="41"/>
        <v>0</v>
      </c>
      <c r="W103" s="80">
        <f t="shared" si="41"/>
        <v>0</v>
      </c>
      <c r="X103" s="80">
        <f t="shared" si="41"/>
        <v>0</v>
      </c>
      <c r="Y103" s="80">
        <f t="shared" si="41"/>
        <v>0</v>
      </c>
      <c r="Z103" s="80">
        <f t="shared" si="41"/>
        <v>0</v>
      </c>
      <c r="AA103" s="80">
        <f t="shared" si="41"/>
        <v>0</v>
      </c>
      <c r="AB103" s="80">
        <f t="shared" si="41"/>
        <v>0</v>
      </c>
      <c r="AC103" s="80">
        <f t="shared" si="41"/>
        <v>0</v>
      </c>
      <c r="AD103" s="80">
        <f t="shared" si="41"/>
        <v>0</v>
      </c>
      <c r="AE103" s="80">
        <f t="shared" si="41"/>
        <v>0</v>
      </c>
      <c r="AF103" s="80">
        <f t="shared" si="41"/>
        <v>0</v>
      </c>
      <c r="AG103" s="80">
        <f t="shared" si="41"/>
        <v>0</v>
      </c>
      <c r="AH103" s="80">
        <f t="shared" si="41"/>
        <v>0</v>
      </c>
      <c r="AI103" s="80">
        <f t="shared" si="41"/>
        <v>0</v>
      </c>
      <c r="AJ103" s="80">
        <f t="shared" si="41"/>
        <v>0</v>
      </c>
      <c r="AK103" s="80">
        <f t="shared" si="41"/>
        <v>0</v>
      </c>
      <c r="AL103" s="80">
        <f t="shared" si="41"/>
        <v>0</v>
      </c>
      <c r="AM103" s="80">
        <f t="shared" si="41"/>
        <v>0</v>
      </c>
      <c r="AN103" s="80">
        <f t="shared" si="41"/>
        <v>0</v>
      </c>
      <c r="AO103" s="80">
        <f t="shared" si="41"/>
        <v>0</v>
      </c>
    </row>
    <row r="104" spans="2:41" s="76" customFormat="1" ht="13.5" customHeight="1" x14ac:dyDescent="0.3">
      <c r="B104" s="73"/>
      <c r="C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</row>
    <row r="105" spans="2:41" s="73" customFormat="1" ht="13.5" customHeight="1" x14ac:dyDescent="0.3">
      <c r="B105" s="74" t="s">
        <v>306</v>
      </c>
      <c r="C105" s="75"/>
      <c r="D105" s="76"/>
      <c r="E105" s="76"/>
      <c r="F105" s="77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5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2:41" s="73" customFormat="1" ht="13.5" customHeight="1" x14ac:dyDescent="0.3">
      <c r="B106" s="74"/>
      <c r="C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AC106" s="77"/>
    </row>
    <row r="107" spans="2:41" s="78" customFormat="1" ht="13.5" customHeight="1" x14ac:dyDescent="0.3">
      <c r="C107" s="77"/>
      <c r="D107" s="79">
        <v>46053</v>
      </c>
      <c r="E107" s="79">
        <v>46081</v>
      </c>
      <c r="F107" s="79">
        <v>46112</v>
      </c>
      <c r="G107" s="79">
        <v>46142</v>
      </c>
      <c r="H107" s="79">
        <v>46173</v>
      </c>
      <c r="I107" s="79">
        <v>46203</v>
      </c>
      <c r="J107" s="79">
        <v>46234</v>
      </c>
      <c r="K107" s="79">
        <v>46265</v>
      </c>
      <c r="L107" s="79">
        <v>46295</v>
      </c>
      <c r="M107" s="79">
        <v>46326</v>
      </c>
      <c r="N107" s="79">
        <v>46356</v>
      </c>
      <c r="O107" s="79">
        <v>46387</v>
      </c>
      <c r="P107" s="77"/>
      <c r="Q107" s="79">
        <v>46418</v>
      </c>
      <c r="R107" s="79">
        <v>46446</v>
      </c>
      <c r="S107" s="79">
        <v>46477</v>
      </c>
      <c r="T107" s="79">
        <v>46507</v>
      </c>
      <c r="U107" s="79">
        <v>46538</v>
      </c>
      <c r="V107" s="79">
        <v>46568</v>
      </c>
      <c r="W107" s="79">
        <v>46599</v>
      </c>
      <c r="X107" s="79">
        <v>46630</v>
      </c>
      <c r="Y107" s="79">
        <v>46660</v>
      </c>
      <c r="Z107" s="79">
        <v>46691</v>
      </c>
      <c r="AA107" s="79">
        <v>46721</v>
      </c>
      <c r="AB107" s="79">
        <v>46752</v>
      </c>
      <c r="AC107" s="77"/>
      <c r="AD107" s="79">
        <v>46783</v>
      </c>
      <c r="AE107" s="79">
        <v>46811</v>
      </c>
      <c r="AF107" s="79">
        <v>46839</v>
      </c>
      <c r="AG107" s="79">
        <v>46867</v>
      </c>
      <c r="AH107" s="79">
        <v>46895</v>
      </c>
      <c r="AI107" s="79">
        <v>46923</v>
      </c>
      <c r="AJ107" s="79">
        <v>46951</v>
      </c>
      <c r="AK107" s="79">
        <v>46979</v>
      </c>
      <c r="AL107" s="79">
        <v>47007</v>
      </c>
      <c r="AM107" s="79">
        <v>47035</v>
      </c>
      <c r="AN107" s="79">
        <v>47063</v>
      </c>
      <c r="AO107" s="79">
        <v>47091</v>
      </c>
    </row>
    <row r="108" spans="2:41" s="73" customFormat="1" ht="13.5" customHeight="1" x14ac:dyDescent="0.3">
      <c r="C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AC108" s="77"/>
    </row>
    <row r="109" spans="2:41" s="73" customFormat="1" ht="13.5" customHeight="1" x14ac:dyDescent="0.3">
      <c r="B109" s="80" t="s">
        <v>248</v>
      </c>
      <c r="C109" s="81"/>
      <c r="D109" s="80">
        <v>0</v>
      </c>
      <c r="E109" s="80">
        <f t="shared" ref="E109:O109" si="42">D129</f>
        <v>25516.666666666664</v>
      </c>
      <c r="F109" s="80">
        <f t="shared" si="42"/>
        <v>27376.722222222219</v>
      </c>
      <c r="G109" s="80">
        <f t="shared" si="42"/>
        <v>28161.002962962961</v>
      </c>
      <c r="H109" s="80">
        <f t="shared" si="42"/>
        <v>28542.845195061731</v>
      </c>
      <c r="I109" s="80">
        <f t="shared" si="42"/>
        <v>28925.585234600825</v>
      </c>
      <c r="J109" s="80">
        <f t="shared" si="42"/>
        <v>29309.226074271719</v>
      </c>
      <c r="K109" s="80">
        <f t="shared" si="42"/>
        <v>29693.770716741514</v>
      </c>
      <c r="L109" s="80">
        <f t="shared" si="42"/>
        <v>30079.222174686209</v>
      </c>
      <c r="M109" s="80">
        <f t="shared" si="42"/>
        <v>30465.583470824058</v>
      </c>
      <c r="N109" s="80">
        <f t="shared" si="42"/>
        <v>30852.857637949026</v>
      </c>
      <c r="O109" s="80">
        <f t="shared" si="42"/>
        <v>31241.047718964412</v>
      </c>
      <c r="P109" s="80">
        <f>Q109</f>
        <v>31630.15676691652</v>
      </c>
      <c r="Q109" s="80">
        <f>O129</f>
        <v>31630.15676691652</v>
      </c>
      <c r="R109" s="80">
        <f t="shared" ref="R109:AB109" si="43">Q129</f>
        <v>27467.5211783618</v>
      </c>
      <c r="S109" s="80">
        <f t="shared" si="43"/>
        <v>33896.144026734117</v>
      </c>
      <c r="T109" s="80">
        <f t="shared" si="43"/>
        <v>38075.695062378785</v>
      </c>
      <c r="U109" s="80">
        <f t="shared" si="43"/>
        <v>42256.177379253379</v>
      </c>
      <c r="V109" s="80">
        <f t="shared" si="43"/>
        <v>44596.195566591196</v>
      </c>
      <c r="W109" s="80">
        <f t="shared" si="43"/>
        <v>47857.850511566772</v>
      </c>
      <c r="X109" s="80">
        <f t="shared" si="43"/>
        <v>52041.145339180512</v>
      </c>
      <c r="Y109" s="80">
        <f t="shared" si="43"/>
        <v>56225.383927330746</v>
      </c>
      <c r="Z109" s="80">
        <f t="shared" si="43"/>
        <v>59950.219793126562</v>
      </c>
      <c r="AA109" s="80">
        <f t="shared" si="43"/>
        <v>64136.355350441372</v>
      </c>
      <c r="AB109" s="80">
        <f t="shared" si="43"/>
        <v>68323.444137391678</v>
      </c>
      <c r="AC109" s="80">
        <f>AD109</f>
        <v>72051.139702650224</v>
      </c>
      <c r="AD109" s="80">
        <f>AB129</f>
        <v>72051.139702650224</v>
      </c>
      <c r="AE109" s="80">
        <f t="shared" ref="AE109:AO109" si="44">AD129</f>
        <v>69813.477825092647</v>
      </c>
      <c r="AF109" s="80">
        <f t="shared" si="44"/>
        <v>80075.945407943203</v>
      </c>
      <c r="AG109" s="80">
        <f t="shared" si="44"/>
        <v>85114.746912651346</v>
      </c>
      <c r="AH109" s="80">
        <f t="shared" si="44"/>
        <v>92562.483054953307</v>
      </c>
      <c r="AI109" s="80">
        <f t="shared" si="44"/>
        <v>92220.728507981592</v>
      </c>
      <c r="AJ109" s="80">
        <f t="shared" si="44"/>
        <v>97262.447384881874</v>
      </c>
      <c r="AK109" s="80">
        <f t="shared" si="44"/>
        <v>104713.11062394998</v>
      </c>
      <c r="AL109" s="80">
        <f t="shared" si="44"/>
        <v>112164.75607381496</v>
      </c>
      <c r="AM109" s="80">
        <f t="shared" si="44"/>
        <v>117209.42159398313</v>
      </c>
      <c r="AN109" s="80">
        <f t="shared" si="44"/>
        <v>124663.04129846334</v>
      </c>
      <c r="AO109" s="80">
        <f t="shared" si="44"/>
        <v>132117.65306862516</v>
      </c>
    </row>
    <row r="110" spans="2:41" s="73" customFormat="1" ht="13.5" customHeight="1" x14ac:dyDescent="0.3">
      <c r="B110" s="77"/>
      <c r="C110" s="81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</row>
    <row r="111" spans="2:41" s="76" customFormat="1" ht="13.5" customHeight="1" x14ac:dyDescent="0.3">
      <c r="B111" s="82" t="s">
        <v>249</v>
      </c>
      <c r="C111" s="83">
        <f>SUM(D111:O111)</f>
        <v>154300</v>
      </c>
      <c r="D111" s="83">
        <f t="shared" ref="D111:O111" si="45">SUM(D112:D115)</f>
        <v>30000</v>
      </c>
      <c r="E111" s="83">
        <f t="shared" si="45"/>
        <v>11300.000000000002</v>
      </c>
      <c r="F111" s="83">
        <f t="shared" si="45"/>
        <v>11300.000000000002</v>
      </c>
      <c r="G111" s="83">
        <f t="shared" si="45"/>
        <v>11300.000000000002</v>
      </c>
      <c r="H111" s="83">
        <f t="shared" si="45"/>
        <v>11300.000000000002</v>
      </c>
      <c r="I111" s="83">
        <f t="shared" si="45"/>
        <v>11300.000000000002</v>
      </c>
      <c r="J111" s="83">
        <f t="shared" si="45"/>
        <v>11300.000000000002</v>
      </c>
      <c r="K111" s="83">
        <f t="shared" si="45"/>
        <v>11300.000000000002</v>
      </c>
      <c r="L111" s="83">
        <f t="shared" si="45"/>
        <v>11300.000000000002</v>
      </c>
      <c r="M111" s="83">
        <f t="shared" si="45"/>
        <v>11300.000000000002</v>
      </c>
      <c r="N111" s="83">
        <f t="shared" si="45"/>
        <v>11300.000000000002</v>
      </c>
      <c r="O111" s="83">
        <f t="shared" si="45"/>
        <v>11300.000000000002</v>
      </c>
      <c r="P111" s="83">
        <f>SUM(Q111:AB111)</f>
        <v>284100</v>
      </c>
      <c r="Q111" s="83">
        <f t="shared" ref="Q111:AB111" si="46">SUM(Q112:Q115)</f>
        <v>11300.000000000002</v>
      </c>
      <c r="R111" s="83">
        <f t="shared" si="46"/>
        <v>24800</v>
      </c>
      <c r="S111" s="83">
        <f t="shared" si="46"/>
        <v>24800</v>
      </c>
      <c r="T111" s="83">
        <f t="shared" si="46"/>
        <v>24800</v>
      </c>
      <c r="U111" s="83">
        <f t="shared" si="46"/>
        <v>24800</v>
      </c>
      <c r="V111" s="83">
        <f t="shared" si="46"/>
        <v>24800</v>
      </c>
      <c r="W111" s="83">
        <f t="shared" si="46"/>
        <v>24800</v>
      </c>
      <c r="X111" s="83">
        <f t="shared" si="46"/>
        <v>24800</v>
      </c>
      <c r="Y111" s="83">
        <f t="shared" si="46"/>
        <v>24800</v>
      </c>
      <c r="Z111" s="83">
        <f t="shared" si="46"/>
        <v>24800</v>
      </c>
      <c r="AA111" s="83">
        <f t="shared" si="46"/>
        <v>24800</v>
      </c>
      <c r="AB111" s="83">
        <f t="shared" si="46"/>
        <v>24800</v>
      </c>
      <c r="AC111" s="83">
        <f>SUM(AD111:AO111)</f>
        <v>483500</v>
      </c>
      <c r="AD111" s="83">
        <f t="shared" ref="AD111:AO111" si="47">SUM(AD112:AD115)</f>
        <v>24800</v>
      </c>
      <c r="AE111" s="83">
        <f t="shared" si="47"/>
        <v>41700</v>
      </c>
      <c r="AF111" s="83">
        <f t="shared" si="47"/>
        <v>41700</v>
      </c>
      <c r="AG111" s="83">
        <f t="shared" si="47"/>
        <v>41700</v>
      </c>
      <c r="AH111" s="83">
        <f t="shared" si="47"/>
        <v>41700</v>
      </c>
      <c r="AI111" s="83">
        <f t="shared" si="47"/>
        <v>41700</v>
      </c>
      <c r="AJ111" s="83">
        <f t="shared" si="47"/>
        <v>41700</v>
      </c>
      <c r="AK111" s="83">
        <f t="shared" si="47"/>
        <v>41700</v>
      </c>
      <c r="AL111" s="83">
        <f t="shared" si="47"/>
        <v>41700</v>
      </c>
      <c r="AM111" s="83">
        <f t="shared" si="47"/>
        <v>41700</v>
      </c>
      <c r="AN111" s="83">
        <f t="shared" si="47"/>
        <v>41700</v>
      </c>
      <c r="AO111" s="83">
        <f t="shared" si="47"/>
        <v>41700</v>
      </c>
    </row>
    <row r="112" spans="2:41" s="73" customFormat="1" ht="13.2" customHeight="1" x14ac:dyDescent="0.3">
      <c r="B112" s="84" t="s">
        <v>250</v>
      </c>
      <c r="C112" s="85">
        <f>SUM(D112:O112)</f>
        <v>10000</v>
      </c>
      <c r="D112" s="84">
        <f>+SAISIE!C49</f>
        <v>10000</v>
      </c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5">
        <f>SUM(Q112:AB112)</f>
        <v>0</v>
      </c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5">
        <f>SUM(AD112:AO112)</f>
        <v>0</v>
      </c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</row>
    <row r="113" spans="2:41" s="73" customFormat="1" ht="13.5" customHeight="1" x14ac:dyDescent="0.3">
      <c r="B113" s="84" t="s">
        <v>251</v>
      </c>
      <c r="C113" s="85">
        <f>SUM(D113:O113)</f>
        <v>124300.00000000001</v>
      </c>
      <c r="D113" s="86">
        <v>0</v>
      </c>
      <c r="E113" s="86">
        <f t="shared" ref="E113:O113" si="48">D36*1.2</f>
        <v>11300.000000000002</v>
      </c>
      <c r="F113" s="86">
        <f t="shared" si="48"/>
        <v>11300.000000000002</v>
      </c>
      <c r="G113" s="86">
        <f t="shared" si="48"/>
        <v>11300.000000000002</v>
      </c>
      <c r="H113" s="86">
        <f t="shared" si="48"/>
        <v>11300.000000000002</v>
      </c>
      <c r="I113" s="86">
        <f t="shared" si="48"/>
        <v>11300.000000000002</v>
      </c>
      <c r="J113" s="86">
        <f t="shared" si="48"/>
        <v>11300.000000000002</v>
      </c>
      <c r="K113" s="86">
        <f t="shared" si="48"/>
        <v>11300.000000000002</v>
      </c>
      <c r="L113" s="86">
        <f t="shared" si="48"/>
        <v>11300.000000000002</v>
      </c>
      <c r="M113" s="86">
        <f t="shared" si="48"/>
        <v>11300.000000000002</v>
      </c>
      <c r="N113" s="86">
        <f t="shared" si="48"/>
        <v>11300.000000000002</v>
      </c>
      <c r="O113" s="86">
        <f t="shared" si="48"/>
        <v>11300.000000000002</v>
      </c>
      <c r="P113" s="85">
        <f>SUM(Q113:AB113)</f>
        <v>284100</v>
      </c>
      <c r="Q113" s="86">
        <f>O36*1.2</f>
        <v>11300.000000000002</v>
      </c>
      <c r="R113" s="86">
        <f t="shared" ref="R113:AB113" si="49">Q36*1.2</f>
        <v>24800</v>
      </c>
      <c r="S113" s="86">
        <f t="shared" si="49"/>
        <v>24800</v>
      </c>
      <c r="T113" s="86">
        <f t="shared" si="49"/>
        <v>24800</v>
      </c>
      <c r="U113" s="86">
        <f t="shared" si="49"/>
        <v>24800</v>
      </c>
      <c r="V113" s="86">
        <f t="shared" si="49"/>
        <v>24800</v>
      </c>
      <c r="W113" s="86">
        <f t="shared" si="49"/>
        <v>24800</v>
      </c>
      <c r="X113" s="86">
        <f t="shared" si="49"/>
        <v>24800</v>
      </c>
      <c r="Y113" s="86">
        <f t="shared" si="49"/>
        <v>24800</v>
      </c>
      <c r="Z113" s="86">
        <f t="shared" si="49"/>
        <v>24800</v>
      </c>
      <c r="AA113" s="86">
        <f t="shared" si="49"/>
        <v>24800</v>
      </c>
      <c r="AB113" s="86">
        <f t="shared" si="49"/>
        <v>24800</v>
      </c>
      <c r="AC113" s="85">
        <f>SUM(AD113:AO113)</f>
        <v>483500</v>
      </c>
      <c r="AD113" s="86">
        <f>+AB36*1.2</f>
        <v>24800</v>
      </c>
      <c r="AE113" s="86">
        <f t="shared" ref="AE113:AO113" si="50">+AD36*1.2</f>
        <v>41700</v>
      </c>
      <c r="AF113" s="86">
        <f t="shared" si="50"/>
        <v>41700</v>
      </c>
      <c r="AG113" s="86">
        <f t="shared" si="50"/>
        <v>41700</v>
      </c>
      <c r="AH113" s="86">
        <f t="shared" si="50"/>
        <v>41700</v>
      </c>
      <c r="AI113" s="86">
        <f t="shared" si="50"/>
        <v>41700</v>
      </c>
      <c r="AJ113" s="86">
        <f t="shared" si="50"/>
        <v>41700</v>
      </c>
      <c r="AK113" s="86">
        <f t="shared" si="50"/>
        <v>41700</v>
      </c>
      <c r="AL113" s="86">
        <f t="shared" si="50"/>
        <v>41700</v>
      </c>
      <c r="AM113" s="86">
        <f t="shared" si="50"/>
        <v>41700</v>
      </c>
      <c r="AN113" s="86">
        <f t="shared" si="50"/>
        <v>41700</v>
      </c>
      <c r="AO113" s="86">
        <f t="shared" si="50"/>
        <v>41700</v>
      </c>
    </row>
    <row r="114" spans="2:41" s="73" customFormat="1" ht="13.5" customHeight="1" x14ac:dyDescent="0.3">
      <c r="B114" s="84" t="s">
        <v>252</v>
      </c>
      <c r="C114" s="85">
        <f>SUM(D114:O114)</f>
        <v>0</v>
      </c>
      <c r="D114" s="84"/>
      <c r="E114" s="84"/>
      <c r="F114" s="84">
        <f t="shared" ref="F114:O114" si="51">D138</f>
        <v>0</v>
      </c>
      <c r="G114" s="84">
        <f t="shared" si="51"/>
        <v>0</v>
      </c>
      <c r="H114" s="84">
        <f t="shared" si="51"/>
        <v>0</v>
      </c>
      <c r="I114" s="84">
        <f t="shared" si="51"/>
        <v>0</v>
      </c>
      <c r="J114" s="84">
        <f t="shared" si="51"/>
        <v>0</v>
      </c>
      <c r="K114" s="84">
        <f t="shared" si="51"/>
        <v>0</v>
      </c>
      <c r="L114" s="84">
        <f t="shared" si="51"/>
        <v>0</v>
      </c>
      <c r="M114" s="84">
        <f t="shared" si="51"/>
        <v>0</v>
      </c>
      <c r="N114" s="84">
        <f t="shared" si="51"/>
        <v>0</v>
      </c>
      <c r="O114" s="84">
        <f t="shared" si="51"/>
        <v>0</v>
      </c>
      <c r="P114" s="85">
        <f>SUM(Q114:AB114)</f>
        <v>0</v>
      </c>
      <c r="Q114" s="84">
        <f>O138</f>
        <v>0</v>
      </c>
      <c r="R114" s="84">
        <f>Q138</f>
        <v>0</v>
      </c>
      <c r="S114" s="84">
        <f>R138</f>
        <v>0</v>
      </c>
      <c r="T114" s="84">
        <f>S138</f>
        <v>0</v>
      </c>
      <c r="U114" s="84">
        <f>T138</f>
        <v>0</v>
      </c>
      <c r="V114" s="84">
        <f>U138</f>
        <v>0</v>
      </c>
      <c r="W114" s="84">
        <f t="shared" ref="W114:AB114" si="52">U138</f>
        <v>0</v>
      </c>
      <c r="X114" s="84">
        <f t="shared" si="52"/>
        <v>0</v>
      </c>
      <c r="Y114" s="84">
        <f t="shared" si="52"/>
        <v>0</v>
      </c>
      <c r="Z114" s="84">
        <f t="shared" si="52"/>
        <v>0</v>
      </c>
      <c r="AA114" s="84">
        <f t="shared" si="52"/>
        <v>0</v>
      </c>
      <c r="AB114" s="84">
        <f t="shared" si="52"/>
        <v>0</v>
      </c>
      <c r="AC114" s="85">
        <f>SUM(AD114:AO114)</f>
        <v>0</v>
      </c>
      <c r="AD114" s="84">
        <f>AA138</f>
        <v>0</v>
      </c>
      <c r="AE114" s="84">
        <f>AB138</f>
        <v>0</v>
      </c>
      <c r="AF114" s="84">
        <f t="shared" ref="AF114:AO114" si="53">AD138</f>
        <v>0</v>
      </c>
      <c r="AG114" s="84">
        <f t="shared" si="53"/>
        <v>0</v>
      </c>
      <c r="AH114" s="84">
        <f t="shared" si="53"/>
        <v>0</v>
      </c>
      <c r="AI114" s="84">
        <f t="shared" si="53"/>
        <v>0</v>
      </c>
      <c r="AJ114" s="84">
        <f t="shared" si="53"/>
        <v>0</v>
      </c>
      <c r="AK114" s="84">
        <f t="shared" si="53"/>
        <v>0</v>
      </c>
      <c r="AL114" s="84">
        <f t="shared" si="53"/>
        <v>0</v>
      </c>
      <c r="AM114" s="84">
        <f t="shared" si="53"/>
        <v>0</v>
      </c>
      <c r="AN114" s="84">
        <f t="shared" si="53"/>
        <v>0</v>
      </c>
      <c r="AO114" s="84">
        <f t="shared" si="53"/>
        <v>0</v>
      </c>
    </row>
    <row r="115" spans="2:41" s="73" customFormat="1" ht="13.5" customHeight="1" x14ac:dyDescent="0.3">
      <c r="B115" s="84" t="s">
        <v>253</v>
      </c>
      <c r="C115" s="85">
        <f>SUM(D115:O115)</f>
        <v>20000</v>
      </c>
      <c r="D115" s="84">
        <v>20000</v>
      </c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5">
        <f>SUM(Q115:AB115)</f>
        <v>0</v>
      </c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5">
        <f>SUM(AD115:AO115)</f>
        <v>0</v>
      </c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</row>
    <row r="116" spans="2:41" s="73" customFormat="1" ht="13.5" customHeight="1" x14ac:dyDescent="0.3"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</row>
    <row r="117" spans="2:41" s="76" customFormat="1" ht="13.5" customHeight="1" x14ac:dyDescent="0.3">
      <c r="B117" s="82" t="s">
        <v>254</v>
      </c>
      <c r="C117" s="83">
        <f t="shared" ref="C117:C126" si="54">SUM(D117:O117)</f>
        <v>122669.84323308349</v>
      </c>
      <c r="D117" s="83">
        <f t="shared" ref="D117:O117" si="55">SUM(D118:D126)</f>
        <v>4483.3333333333339</v>
      </c>
      <c r="E117" s="83">
        <f t="shared" si="55"/>
        <v>9439.9444444444434</v>
      </c>
      <c r="F117" s="83">
        <f t="shared" si="55"/>
        <v>10515.719259259258</v>
      </c>
      <c r="G117" s="83">
        <f t="shared" si="55"/>
        <v>10918.157767901233</v>
      </c>
      <c r="H117" s="83">
        <f t="shared" si="55"/>
        <v>10917.259960460904</v>
      </c>
      <c r="I117" s="83">
        <f t="shared" si="55"/>
        <v>10916.359160329108</v>
      </c>
      <c r="J117" s="83">
        <f t="shared" si="55"/>
        <v>10915.455357530205</v>
      </c>
      <c r="K117" s="83">
        <f t="shared" si="55"/>
        <v>10914.548542055305</v>
      </c>
      <c r="L117" s="83">
        <f t="shared" si="55"/>
        <v>10913.638703862156</v>
      </c>
      <c r="M117" s="83">
        <f t="shared" si="55"/>
        <v>10912.72583287503</v>
      </c>
      <c r="N117" s="83">
        <f t="shared" si="55"/>
        <v>10911.809918984614</v>
      </c>
      <c r="O117" s="83">
        <f t="shared" si="55"/>
        <v>10910.890952047896</v>
      </c>
      <c r="P117" s="83">
        <f t="shared" ref="P117:P126" si="56">SUM(Q117:AB117)</f>
        <v>243679.01706426629</v>
      </c>
      <c r="Q117" s="83">
        <f t="shared" ref="Q117:AB117" si="57">SUM(Q118:Q126)</f>
        <v>15462.635588554722</v>
      </c>
      <c r="R117" s="83">
        <f t="shared" si="57"/>
        <v>18371.377151627683</v>
      </c>
      <c r="S117" s="83">
        <f t="shared" si="57"/>
        <v>20620.448964355332</v>
      </c>
      <c r="T117" s="83">
        <f t="shared" si="57"/>
        <v>20619.517683125403</v>
      </c>
      <c r="U117" s="83">
        <f t="shared" si="57"/>
        <v>22459.981812662187</v>
      </c>
      <c r="V117" s="83">
        <f t="shared" si="57"/>
        <v>21538.345055024423</v>
      </c>
      <c r="W117" s="83">
        <f t="shared" si="57"/>
        <v>20616.705172386257</v>
      </c>
      <c r="X117" s="83">
        <f t="shared" si="57"/>
        <v>20615.761411849766</v>
      </c>
      <c r="Y117" s="83">
        <f t="shared" si="57"/>
        <v>21075.164134204191</v>
      </c>
      <c r="Z117" s="83">
        <f t="shared" si="57"/>
        <v>20613.864442685193</v>
      </c>
      <c r="AA117" s="83">
        <f t="shared" si="57"/>
        <v>20612.911213049698</v>
      </c>
      <c r="AB117" s="83">
        <f t="shared" si="57"/>
        <v>21072.304434741458</v>
      </c>
      <c r="AC117" s="83">
        <f t="shared" ref="AC117:AC126" si="58">SUM(AD117:AO117)</f>
        <v>418385.84490582568</v>
      </c>
      <c r="AD117" s="83">
        <f t="shared" ref="AD117:AO117" si="59">SUM(AD118:AD126)</f>
        <v>27037.661877557584</v>
      </c>
      <c r="AE117" s="83">
        <f t="shared" si="59"/>
        <v>31437.532417149443</v>
      </c>
      <c r="AF117" s="83">
        <f t="shared" si="59"/>
        <v>36661.198495291865</v>
      </c>
      <c r="AG117" s="83">
        <f t="shared" si="59"/>
        <v>34252.263857698032</v>
      </c>
      <c r="AH117" s="83">
        <f t="shared" si="59"/>
        <v>42041.754546971715</v>
      </c>
      <c r="AI117" s="83">
        <f t="shared" si="59"/>
        <v>36658.281123099703</v>
      </c>
      <c r="AJ117" s="83">
        <f t="shared" si="59"/>
        <v>34249.336760931896</v>
      </c>
      <c r="AK117" s="83">
        <f t="shared" si="59"/>
        <v>34248.354550135002</v>
      </c>
      <c r="AL117" s="83">
        <f t="shared" si="59"/>
        <v>36655.334479831829</v>
      </c>
      <c r="AM117" s="83">
        <f t="shared" si="59"/>
        <v>34246.38029551979</v>
      </c>
      <c r="AN117" s="83">
        <f t="shared" si="59"/>
        <v>34245.388229838194</v>
      </c>
      <c r="AO117" s="83">
        <f t="shared" si="59"/>
        <v>36652.358271800695</v>
      </c>
    </row>
    <row r="118" spans="2:41" s="73" customFormat="1" ht="13.5" customHeight="1" x14ac:dyDescent="0.3">
      <c r="B118" s="84" t="s">
        <v>255</v>
      </c>
      <c r="C118" s="85">
        <f t="shared" si="54"/>
        <v>4000.0000000000005</v>
      </c>
      <c r="D118" s="84">
        <f t="shared" ref="D118:O118" si="60">+D169+D183</f>
        <v>333.33333333333331</v>
      </c>
      <c r="E118" s="84">
        <f t="shared" si="60"/>
        <v>333.33333333333331</v>
      </c>
      <c r="F118" s="84">
        <f t="shared" si="60"/>
        <v>333.33333333333331</v>
      </c>
      <c r="G118" s="84">
        <f t="shared" si="60"/>
        <v>333.33333333333331</v>
      </c>
      <c r="H118" s="84">
        <f t="shared" si="60"/>
        <v>333.33333333333331</v>
      </c>
      <c r="I118" s="84">
        <f t="shared" si="60"/>
        <v>333.33333333333331</v>
      </c>
      <c r="J118" s="84">
        <f t="shared" si="60"/>
        <v>333.33333333333331</v>
      </c>
      <c r="K118" s="84">
        <f t="shared" si="60"/>
        <v>333.33333333333331</v>
      </c>
      <c r="L118" s="84">
        <f t="shared" si="60"/>
        <v>333.33333333333331</v>
      </c>
      <c r="M118" s="84">
        <f t="shared" si="60"/>
        <v>333.33333333333331</v>
      </c>
      <c r="N118" s="84">
        <f t="shared" si="60"/>
        <v>333.33333333333331</v>
      </c>
      <c r="O118" s="84">
        <f t="shared" si="60"/>
        <v>333.33333333333331</v>
      </c>
      <c r="P118" s="85">
        <f t="shared" si="56"/>
        <v>4000.0000000000005</v>
      </c>
      <c r="Q118" s="84">
        <f t="shared" ref="Q118:AB118" si="61">+Q169+Q183</f>
        <v>333.33333333333331</v>
      </c>
      <c r="R118" s="84">
        <f t="shared" si="61"/>
        <v>333.33333333333331</v>
      </c>
      <c r="S118" s="84">
        <f t="shared" si="61"/>
        <v>333.33333333333331</v>
      </c>
      <c r="T118" s="84">
        <f t="shared" si="61"/>
        <v>333.33333333333331</v>
      </c>
      <c r="U118" s="84">
        <f t="shared" si="61"/>
        <v>333.33333333333331</v>
      </c>
      <c r="V118" s="84">
        <f t="shared" si="61"/>
        <v>333.33333333333331</v>
      </c>
      <c r="W118" s="84">
        <f t="shared" si="61"/>
        <v>333.33333333333331</v>
      </c>
      <c r="X118" s="84">
        <f t="shared" si="61"/>
        <v>333.33333333333331</v>
      </c>
      <c r="Y118" s="84">
        <f t="shared" si="61"/>
        <v>333.33333333333331</v>
      </c>
      <c r="Z118" s="84">
        <f t="shared" si="61"/>
        <v>333.33333333333331</v>
      </c>
      <c r="AA118" s="84">
        <f t="shared" si="61"/>
        <v>333.33333333333331</v>
      </c>
      <c r="AB118" s="84">
        <f t="shared" si="61"/>
        <v>333.33333333333331</v>
      </c>
      <c r="AC118" s="85">
        <f t="shared" si="58"/>
        <v>4000.0000000000005</v>
      </c>
      <c r="AD118" s="84">
        <f t="shared" ref="AD118:AO118" si="62">+AD169+AD183</f>
        <v>333.33333333333331</v>
      </c>
      <c r="AE118" s="84">
        <f t="shared" si="62"/>
        <v>333.33333333333331</v>
      </c>
      <c r="AF118" s="84">
        <f t="shared" si="62"/>
        <v>333.33333333333331</v>
      </c>
      <c r="AG118" s="84">
        <f t="shared" si="62"/>
        <v>333.33333333333331</v>
      </c>
      <c r="AH118" s="84">
        <f t="shared" si="62"/>
        <v>333.33333333333331</v>
      </c>
      <c r="AI118" s="84">
        <f t="shared" si="62"/>
        <v>333.33333333333331</v>
      </c>
      <c r="AJ118" s="84">
        <f t="shared" si="62"/>
        <v>333.33333333333331</v>
      </c>
      <c r="AK118" s="84">
        <f t="shared" si="62"/>
        <v>333.33333333333331</v>
      </c>
      <c r="AL118" s="84">
        <f t="shared" si="62"/>
        <v>333.33333333333331</v>
      </c>
      <c r="AM118" s="84">
        <f t="shared" si="62"/>
        <v>333.33333333333331</v>
      </c>
      <c r="AN118" s="84">
        <f t="shared" si="62"/>
        <v>333.33333333333331</v>
      </c>
      <c r="AO118" s="84">
        <f t="shared" si="62"/>
        <v>333.33333333333331</v>
      </c>
    </row>
    <row r="119" spans="2:41" s="73" customFormat="1" ht="13.5" customHeight="1" x14ac:dyDescent="0.3">
      <c r="B119" s="84" t="s">
        <v>215</v>
      </c>
      <c r="C119" s="85">
        <f t="shared" si="54"/>
        <v>6050</v>
      </c>
      <c r="D119" s="84"/>
      <c r="E119" s="84">
        <f t="shared" ref="E119:O119" si="63">D85*1.2</f>
        <v>550</v>
      </c>
      <c r="F119" s="84">
        <f t="shared" si="63"/>
        <v>550</v>
      </c>
      <c r="G119" s="84">
        <f t="shared" si="63"/>
        <v>550</v>
      </c>
      <c r="H119" s="84">
        <f t="shared" si="63"/>
        <v>550</v>
      </c>
      <c r="I119" s="84">
        <f t="shared" si="63"/>
        <v>550</v>
      </c>
      <c r="J119" s="84">
        <f t="shared" si="63"/>
        <v>550</v>
      </c>
      <c r="K119" s="84">
        <f t="shared" si="63"/>
        <v>550</v>
      </c>
      <c r="L119" s="84">
        <f t="shared" si="63"/>
        <v>550</v>
      </c>
      <c r="M119" s="84">
        <f t="shared" si="63"/>
        <v>550</v>
      </c>
      <c r="N119" s="84">
        <f t="shared" si="63"/>
        <v>550</v>
      </c>
      <c r="O119" s="84">
        <f t="shared" si="63"/>
        <v>550</v>
      </c>
      <c r="P119" s="85">
        <f t="shared" si="56"/>
        <v>2750</v>
      </c>
      <c r="Q119" s="84">
        <f>O85*1.2</f>
        <v>550</v>
      </c>
      <c r="R119" s="84">
        <f t="shared" ref="R119:AB119" si="64">Q85*1.2</f>
        <v>199.99999999999997</v>
      </c>
      <c r="S119" s="84">
        <f t="shared" si="64"/>
        <v>199.99999999999997</v>
      </c>
      <c r="T119" s="84">
        <f t="shared" si="64"/>
        <v>199.99999999999997</v>
      </c>
      <c r="U119" s="84">
        <f t="shared" si="64"/>
        <v>199.99999999999997</v>
      </c>
      <c r="V119" s="84">
        <f t="shared" si="64"/>
        <v>199.99999999999997</v>
      </c>
      <c r="W119" s="84">
        <f t="shared" si="64"/>
        <v>199.99999999999997</v>
      </c>
      <c r="X119" s="84">
        <f t="shared" si="64"/>
        <v>199.99999999999997</v>
      </c>
      <c r="Y119" s="84">
        <f t="shared" si="64"/>
        <v>199.99999999999997</v>
      </c>
      <c r="Z119" s="84">
        <f t="shared" si="64"/>
        <v>199.99999999999997</v>
      </c>
      <c r="AA119" s="84">
        <f t="shared" si="64"/>
        <v>199.99999999999997</v>
      </c>
      <c r="AB119" s="84">
        <f t="shared" si="64"/>
        <v>199.99999999999997</v>
      </c>
      <c r="AC119" s="85">
        <f t="shared" si="58"/>
        <v>2949.9999999999995</v>
      </c>
      <c r="AD119" s="84">
        <f>AB85*1.2</f>
        <v>199.99999999999997</v>
      </c>
      <c r="AE119" s="84">
        <f t="shared" ref="AE119:AO119" si="65">AD85*1.2</f>
        <v>249.99999999999997</v>
      </c>
      <c r="AF119" s="84">
        <f t="shared" si="65"/>
        <v>249.99999999999997</v>
      </c>
      <c r="AG119" s="84">
        <f t="shared" si="65"/>
        <v>249.99999999999997</v>
      </c>
      <c r="AH119" s="84">
        <f t="shared" si="65"/>
        <v>249.99999999999997</v>
      </c>
      <c r="AI119" s="84">
        <f t="shared" si="65"/>
        <v>249.99999999999997</v>
      </c>
      <c r="AJ119" s="84">
        <f t="shared" si="65"/>
        <v>249.99999999999997</v>
      </c>
      <c r="AK119" s="84">
        <f t="shared" si="65"/>
        <v>249.99999999999997</v>
      </c>
      <c r="AL119" s="84">
        <f t="shared" si="65"/>
        <v>249.99999999999997</v>
      </c>
      <c r="AM119" s="84">
        <f t="shared" si="65"/>
        <v>249.99999999999997</v>
      </c>
      <c r="AN119" s="84">
        <f t="shared" si="65"/>
        <v>249.99999999999997</v>
      </c>
      <c r="AO119" s="84">
        <f t="shared" si="65"/>
        <v>249.99999999999997</v>
      </c>
    </row>
    <row r="120" spans="2:41" s="73" customFormat="1" ht="13.5" customHeight="1" x14ac:dyDescent="0.3">
      <c r="B120" s="84" t="s">
        <v>256</v>
      </c>
      <c r="C120" s="85">
        <f t="shared" si="54"/>
        <v>20569.999999999996</v>
      </c>
      <c r="D120" s="84">
        <f>Bilan!C29</f>
        <v>0</v>
      </c>
      <c r="E120" s="84">
        <f t="shared" ref="E120:O120" si="66">(D42+D53+D54)*1.2</f>
        <v>1869.9999999999998</v>
      </c>
      <c r="F120" s="84">
        <f t="shared" si="66"/>
        <v>1869.9999999999998</v>
      </c>
      <c r="G120" s="84">
        <f t="shared" si="66"/>
        <v>1869.9999999999998</v>
      </c>
      <c r="H120" s="84">
        <f t="shared" si="66"/>
        <v>1869.9999999999998</v>
      </c>
      <c r="I120" s="84">
        <f t="shared" si="66"/>
        <v>1869.9999999999998</v>
      </c>
      <c r="J120" s="84">
        <f t="shared" si="66"/>
        <v>1869.9999999999998</v>
      </c>
      <c r="K120" s="84">
        <f t="shared" si="66"/>
        <v>1869.9999999999998</v>
      </c>
      <c r="L120" s="84">
        <f t="shared" si="66"/>
        <v>1869.9999999999998</v>
      </c>
      <c r="M120" s="84">
        <f t="shared" si="66"/>
        <v>1869.9999999999998</v>
      </c>
      <c r="N120" s="84">
        <f t="shared" si="66"/>
        <v>1869.9999999999998</v>
      </c>
      <c r="O120" s="84">
        <f t="shared" si="66"/>
        <v>1869.9999999999998</v>
      </c>
      <c r="P120" s="85">
        <f t="shared" si="56"/>
        <v>23540</v>
      </c>
      <c r="Q120" s="84">
        <f>(O42+O53+O54)*1.2</f>
        <v>1869.9999999999998</v>
      </c>
      <c r="R120" s="84">
        <f t="shared" ref="R120:AB120" si="67">(Q42+Q53+Q54)*1.2</f>
        <v>1970</v>
      </c>
      <c r="S120" s="84">
        <f t="shared" si="67"/>
        <v>1970</v>
      </c>
      <c r="T120" s="84">
        <f t="shared" si="67"/>
        <v>1970</v>
      </c>
      <c r="U120" s="84">
        <f t="shared" si="67"/>
        <v>1970</v>
      </c>
      <c r="V120" s="84">
        <f t="shared" si="67"/>
        <v>1970</v>
      </c>
      <c r="W120" s="84">
        <f t="shared" si="67"/>
        <v>1970</v>
      </c>
      <c r="X120" s="84">
        <f t="shared" si="67"/>
        <v>1970</v>
      </c>
      <c r="Y120" s="84">
        <f t="shared" si="67"/>
        <v>1970</v>
      </c>
      <c r="Z120" s="84">
        <f t="shared" si="67"/>
        <v>1970</v>
      </c>
      <c r="AA120" s="84">
        <f t="shared" si="67"/>
        <v>1970</v>
      </c>
      <c r="AB120" s="84">
        <f t="shared" si="67"/>
        <v>1970</v>
      </c>
      <c r="AC120" s="85">
        <f t="shared" si="58"/>
        <v>25840</v>
      </c>
      <c r="AD120" s="84">
        <f>(AB42+AB53+AB54)*1.2</f>
        <v>1970</v>
      </c>
      <c r="AE120" s="84">
        <f t="shared" ref="AE120:AO120" si="68">(AD42+AD53+AD54)*1.2</f>
        <v>2170</v>
      </c>
      <c r="AF120" s="84">
        <f t="shared" si="68"/>
        <v>2170</v>
      </c>
      <c r="AG120" s="84">
        <f t="shared" si="68"/>
        <v>2170</v>
      </c>
      <c r="AH120" s="84">
        <f t="shared" si="68"/>
        <v>2170</v>
      </c>
      <c r="AI120" s="84">
        <f t="shared" si="68"/>
        <v>2170</v>
      </c>
      <c r="AJ120" s="84">
        <f t="shared" si="68"/>
        <v>2170</v>
      </c>
      <c r="AK120" s="84">
        <f t="shared" si="68"/>
        <v>2170</v>
      </c>
      <c r="AL120" s="84">
        <f t="shared" si="68"/>
        <v>2170</v>
      </c>
      <c r="AM120" s="84">
        <f t="shared" si="68"/>
        <v>2170</v>
      </c>
      <c r="AN120" s="84">
        <f t="shared" si="68"/>
        <v>2170</v>
      </c>
      <c r="AO120" s="84">
        <f t="shared" si="68"/>
        <v>2170</v>
      </c>
    </row>
    <row r="121" spans="2:41" s="73" customFormat="1" ht="13.5" customHeight="1" x14ac:dyDescent="0.3">
      <c r="B121" s="84" t="s">
        <v>232</v>
      </c>
      <c r="C121" s="85">
        <f t="shared" si="54"/>
        <v>600</v>
      </c>
      <c r="D121" s="84">
        <f t="shared" ref="D121:O121" si="69">D56</f>
        <v>50</v>
      </c>
      <c r="E121" s="84">
        <f t="shared" si="69"/>
        <v>50</v>
      </c>
      <c r="F121" s="84">
        <f t="shared" si="69"/>
        <v>50</v>
      </c>
      <c r="G121" s="84">
        <f t="shared" si="69"/>
        <v>50</v>
      </c>
      <c r="H121" s="84">
        <f t="shared" si="69"/>
        <v>50</v>
      </c>
      <c r="I121" s="84">
        <f t="shared" si="69"/>
        <v>50</v>
      </c>
      <c r="J121" s="84">
        <f t="shared" si="69"/>
        <v>50</v>
      </c>
      <c r="K121" s="84">
        <f t="shared" si="69"/>
        <v>50</v>
      </c>
      <c r="L121" s="84">
        <f t="shared" si="69"/>
        <v>50</v>
      </c>
      <c r="M121" s="84">
        <f t="shared" si="69"/>
        <v>50</v>
      </c>
      <c r="N121" s="84">
        <f t="shared" si="69"/>
        <v>50</v>
      </c>
      <c r="O121" s="84">
        <f t="shared" si="69"/>
        <v>50</v>
      </c>
      <c r="P121" s="85">
        <f t="shared" si="56"/>
        <v>600</v>
      </c>
      <c r="Q121" s="84">
        <f t="shared" ref="Q121:AB121" si="70">Q56</f>
        <v>50</v>
      </c>
      <c r="R121" s="84">
        <f t="shared" si="70"/>
        <v>50</v>
      </c>
      <c r="S121" s="84">
        <f t="shared" si="70"/>
        <v>50</v>
      </c>
      <c r="T121" s="84">
        <f t="shared" si="70"/>
        <v>50</v>
      </c>
      <c r="U121" s="84">
        <f t="shared" si="70"/>
        <v>50</v>
      </c>
      <c r="V121" s="84">
        <f t="shared" si="70"/>
        <v>50</v>
      </c>
      <c r="W121" s="84">
        <f t="shared" si="70"/>
        <v>50</v>
      </c>
      <c r="X121" s="84">
        <f t="shared" si="70"/>
        <v>50</v>
      </c>
      <c r="Y121" s="84">
        <f t="shared" si="70"/>
        <v>50</v>
      </c>
      <c r="Z121" s="84">
        <f t="shared" si="70"/>
        <v>50</v>
      </c>
      <c r="AA121" s="84">
        <f t="shared" si="70"/>
        <v>50</v>
      </c>
      <c r="AB121" s="84">
        <f t="shared" si="70"/>
        <v>50</v>
      </c>
      <c r="AC121" s="85">
        <f t="shared" si="58"/>
        <v>600</v>
      </c>
      <c r="AD121" s="84">
        <f t="shared" ref="AD121:AO121" si="71">AD56</f>
        <v>50</v>
      </c>
      <c r="AE121" s="84">
        <f t="shared" si="71"/>
        <v>50</v>
      </c>
      <c r="AF121" s="84">
        <f t="shared" si="71"/>
        <v>50</v>
      </c>
      <c r="AG121" s="84">
        <f t="shared" si="71"/>
        <v>50</v>
      </c>
      <c r="AH121" s="84">
        <f t="shared" si="71"/>
        <v>50</v>
      </c>
      <c r="AI121" s="84">
        <f t="shared" si="71"/>
        <v>50</v>
      </c>
      <c r="AJ121" s="84">
        <f t="shared" si="71"/>
        <v>50</v>
      </c>
      <c r="AK121" s="84">
        <f t="shared" si="71"/>
        <v>50</v>
      </c>
      <c r="AL121" s="84">
        <f t="shared" si="71"/>
        <v>50</v>
      </c>
      <c r="AM121" s="84">
        <f t="shared" si="71"/>
        <v>50</v>
      </c>
      <c r="AN121" s="84">
        <f t="shared" si="71"/>
        <v>50</v>
      </c>
      <c r="AO121" s="84">
        <f t="shared" si="71"/>
        <v>50</v>
      </c>
    </row>
    <row r="122" spans="2:41" s="73" customFormat="1" ht="13.5" customHeight="1" x14ac:dyDescent="0.3">
      <c r="B122" s="84" t="s">
        <v>257</v>
      </c>
      <c r="C122" s="85">
        <f t="shared" si="54"/>
        <v>48400.000000000007</v>
      </c>
      <c r="D122" s="84">
        <f t="shared" ref="D122:O122" si="72">D57*0.78+D55</f>
        <v>4033.3333333333335</v>
      </c>
      <c r="E122" s="84">
        <f t="shared" si="72"/>
        <v>4033.3333333333335</v>
      </c>
      <c r="F122" s="84">
        <f t="shared" si="72"/>
        <v>4033.3333333333335</v>
      </c>
      <c r="G122" s="84">
        <f t="shared" si="72"/>
        <v>4033.3333333333335</v>
      </c>
      <c r="H122" s="84">
        <f t="shared" si="72"/>
        <v>4033.3333333333335</v>
      </c>
      <c r="I122" s="84">
        <f t="shared" si="72"/>
        <v>4033.3333333333335</v>
      </c>
      <c r="J122" s="84">
        <f t="shared" si="72"/>
        <v>4033.3333333333335</v>
      </c>
      <c r="K122" s="84">
        <f t="shared" si="72"/>
        <v>4033.3333333333335</v>
      </c>
      <c r="L122" s="84">
        <f t="shared" si="72"/>
        <v>4033.3333333333335</v>
      </c>
      <c r="M122" s="84">
        <f t="shared" si="72"/>
        <v>4033.3333333333335</v>
      </c>
      <c r="N122" s="84">
        <f t="shared" si="72"/>
        <v>4033.3333333333335</v>
      </c>
      <c r="O122" s="84">
        <f t="shared" si="72"/>
        <v>4033.3333333333335</v>
      </c>
      <c r="P122" s="85">
        <f t="shared" si="56"/>
        <v>103032</v>
      </c>
      <c r="Q122" s="84">
        <f t="shared" ref="Q122:AB122" si="73">Q57*0.78+Q55</f>
        <v>8586</v>
      </c>
      <c r="R122" s="84">
        <f t="shared" si="73"/>
        <v>8586</v>
      </c>
      <c r="S122" s="84">
        <f t="shared" si="73"/>
        <v>8586</v>
      </c>
      <c r="T122" s="84">
        <f t="shared" si="73"/>
        <v>8586</v>
      </c>
      <c r="U122" s="84">
        <f t="shared" si="73"/>
        <v>8586</v>
      </c>
      <c r="V122" s="84">
        <f t="shared" si="73"/>
        <v>8586</v>
      </c>
      <c r="W122" s="84">
        <f t="shared" si="73"/>
        <v>8586</v>
      </c>
      <c r="X122" s="84">
        <f t="shared" si="73"/>
        <v>8586</v>
      </c>
      <c r="Y122" s="84">
        <f t="shared" si="73"/>
        <v>8586</v>
      </c>
      <c r="Z122" s="84">
        <f t="shared" si="73"/>
        <v>8586</v>
      </c>
      <c r="AA122" s="84">
        <f t="shared" si="73"/>
        <v>8586</v>
      </c>
      <c r="AB122" s="84">
        <f t="shared" si="73"/>
        <v>8586</v>
      </c>
      <c r="AC122" s="85">
        <f t="shared" si="58"/>
        <v>180152</v>
      </c>
      <c r="AD122" s="84">
        <f t="shared" ref="AD122:AO122" si="74">AD57*0.78+AD55</f>
        <v>15012.666666666668</v>
      </c>
      <c r="AE122" s="84">
        <f t="shared" si="74"/>
        <v>15012.666666666668</v>
      </c>
      <c r="AF122" s="84">
        <f t="shared" si="74"/>
        <v>15012.666666666668</v>
      </c>
      <c r="AG122" s="84">
        <f t="shared" si="74"/>
        <v>15012.666666666668</v>
      </c>
      <c r="AH122" s="84">
        <f t="shared" si="74"/>
        <v>15012.666666666668</v>
      </c>
      <c r="AI122" s="84">
        <f t="shared" si="74"/>
        <v>15012.666666666668</v>
      </c>
      <c r="AJ122" s="84">
        <f t="shared" si="74"/>
        <v>15012.666666666668</v>
      </c>
      <c r="AK122" s="84">
        <f t="shared" si="74"/>
        <v>15012.666666666668</v>
      </c>
      <c r="AL122" s="84">
        <f t="shared" si="74"/>
        <v>15012.666666666668</v>
      </c>
      <c r="AM122" s="84">
        <f t="shared" si="74"/>
        <v>15012.666666666668</v>
      </c>
      <c r="AN122" s="84">
        <f t="shared" si="74"/>
        <v>15012.666666666668</v>
      </c>
      <c r="AO122" s="84">
        <f t="shared" si="74"/>
        <v>15012.666666666668</v>
      </c>
    </row>
    <row r="123" spans="2:41" s="73" customFormat="1" ht="13.5" customHeight="1" x14ac:dyDescent="0.3">
      <c r="B123" s="84" t="s">
        <v>258</v>
      </c>
      <c r="C123" s="85">
        <f t="shared" si="54"/>
        <v>27912.5</v>
      </c>
      <c r="D123" s="84"/>
      <c r="E123" s="84">
        <f t="shared" ref="E123:O123" si="75">D57*22%+D58</f>
        <v>2537.5</v>
      </c>
      <c r="F123" s="84">
        <f t="shared" si="75"/>
        <v>2537.5</v>
      </c>
      <c r="G123" s="84">
        <f t="shared" si="75"/>
        <v>2537.5</v>
      </c>
      <c r="H123" s="84">
        <f t="shared" si="75"/>
        <v>2537.5</v>
      </c>
      <c r="I123" s="84">
        <f t="shared" si="75"/>
        <v>2537.5</v>
      </c>
      <c r="J123" s="84">
        <f t="shared" si="75"/>
        <v>2537.5</v>
      </c>
      <c r="K123" s="84">
        <f t="shared" si="75"/>
        <v>2537.5</v>
      </c>
      <c r="L123" s="84">
        <f t="shared" si="75"/>
        <v>2537.5</v>
      </c>
      <c r="M123" s="84">
        <f t="shared" si="75"/>
        <v>2537.5</v>
      </c>
      <c r="N123" s="84">
        <f t="shared" si="75"/>
        <v>2537.5</v>
      </c>
      <c r="O123" s="84">
        <f t="shared" si="75"/>
        <v>2537.5</v>
      </c>
      <c r="P123" s="85">
        <f t="shared" si="56"/>
        <v>64748</v>
      </c>
      <c r="Q123" s="84">
        <f>O57*22%+O58</f>
        <v>2537.5</v>
      </c>
      <c r="R123" s="84">
        <f t="shared" ref="R123:AB123" si="76">Q57*22%+Q58</f>
        <v>5655.5</v>
      </c>
      <c r="S123" s="84">
        <f t="shared" si="76"/>
        <v>5655.5</v>
      </c>
      <c r="T123" s="84">
        <f t="shared" si="76"/>
        <v>5655.5</v>
      </c>
      <c r="U123" s="84">
        <f t="shared" si="76"/>
        <v>5655.5</v>
      </c>
      <c r="V123" s="84">
        <f t="shared" si="76"/>
        <v>5655.5</v>
      </c>
      <c r="W123" s="84">
        <f t="shared" si="76"/>
        <v>5655.5</v>
      </c>
      <c r="X123" s="84">
        <f t="shared" si="76"/>
        <v>5655.5</v>
      </c>
      <c r="Y123" s="84">
        <f t="shared" si="76"/>
        <v>5655.5</v>
      </c>
      <c r="Z123" s="84">
        <f t="shared" si="76"/>
        <v>5655.5</v>
      </c>
      <c r="AA123" s="84">
        <f t="shared" si="76"/>
        <v>5655.5</v>
      </c>
      <c r="AB123" s="84">
        <f t="shared" si="76"/>
        <v>5655.5</v>
      </c>
      <c r="AC123" s="85">
        <f t="shared" si="58"/>
        <v>113983.5</v>
      </c>
      <c r="AD123" s="84">
        <f>AB57*22%+AB58</f>
        <v>5655.5</v>
      </c>
      <c r="AE123" s="84">
        <f t="shared" ref="AE123:AO123" si="77">AD57*22%+AD58</f>
        <v>9848</v>
      </c>
      <c r="AF123" s="84">
        <f t="shared" si="77"/>
        <v>9848</v>
      </c>
      <c r="AG123" s="84">
        <f t="shared" si="77"/>
        <v>9848</v>
      </c>
      <c r="AH123" s="84">
        <f t="shared" si="77"/>
        <v>9848</v>
      </c>
      <c r="AI123" s="84">
        <f t="shared" si="77"/>
        <v>9848</v>
      </c>
      <c r="AJ123" s="84">
        <f t="shared" si="77"/>
        <v>9848</v>
      </c>
      <c r="AK123" s="84">
        <f t="shared" si="77"/>
        <v>9848</v>
      </c>
      <c r="AL123" s="84">
        <f t="shared" si="77"/>
        <v>9848</v>
      </c>
      <c r="AM123" s="84">
        <f t="shared" si="77"/>
        <v>9848</v>
      </c>
      <c r="AN123" s="84">
        <f t="shared" si="77"/>
        <v>9848</v>
      </c>
      <c r="AO123" s="84">
        <f t="shared" si="77"/>
        <v>9848</v>
      </c>
    </row>
    <row r="124" spans="2:41" s="73" customFormat="1" ht="13.5" customHeight="1" x14ac:dyDescent="0.3">
      <c r="B124" s="84" t="s">
        <v>259</v>
      </c>
      <c r="C124" s="85">
        <f t="shared" si="54"/>
        <v>740.67656641682925</v>
      </c>
      <c r="D124" s="84">
        <f t="shared" ref="D124:O124" si="78">D64</f>
        <v>66.666666666666671</v>
      </c>
      <c r="E124" s="84">
        <f t="shared" si="78"/>
        <v>65.777777777777771</v>
      </c>
      <c r="F124" s="84">
        <f t="shared" si="78"/>
        <v>64.885925925925932</v>
      </c>
      <c r="G124" s="84">
        <f t="shared" si="78"/>
        <v>63.991101234567907</v>
      </c>
      <c r="H124" s="84">
        <f t="shared" si="78"/>
        <v>63.09329379423869</v>
      </c>
      <c r="I124" s="84">
        <f t="shared" si="78"/>
        <v>62.192493662441706</v>
      </c>
      <c r="J124" s="84">
        <f t="shared" si="78"/>
        <v>61.28869086353874</v>
      </c>
      <c r="K124" s="84">
        <f t="shared" si="78"/>
        <v>60.381875388639422</v>
      </c>
      <c r="L124" s="84">
        <f t="shared" si="78"/>
        <v>59.472037195490437</v>
      </c>
      <c r="M124" s="84">
        <f t="shared" si="78"/>
        <v>58.559166208364296</v>
      </c>
      <c r="N124" s="84">
        <f t="shared" si="78"/>
        <v>57.643252317947741</v>
      </c>
      <c r="O124" s="84">
        <f t="shared" si="78"/>
        <v>56.724285381229784</v>
      </c>
      <c r="P124" s="85">
        <f t="shared" si="56"/>
        <v>607.88670085802414</v>
      </c>
      <c r="Q124" s="84">
        <f t="shared" ref="Q124:AB124" si="79">Q64</f>
        <v>55.802255221389437</v>
      </c>
      <c r="R124" s="84">
        <f t="shared" si="79"/>
        <v>54.877151627682956</v>
      </c>
      <c r="S124" s="84">
        <f t="shared" si="79"/>
        <v>53.948964355330787</v>
      </c>
      <c r="T124" s="84">
        <f t="shared" si="79"/>
        <v>53.017683125404112</v>
      </c>
      <c r="U124" s="84">
        <f t="shared" si="79"/>
        <v>52.083297624711015</v>
      </c>
      <c r="V124" s="84">
        <f t="shared" si="79"/>
        <v>51.145797505682275</v>
      </c>
      <c r="W124" s="84">
        <f t="shared" si="79"/>
        <v>50.20517238625677</v>
      </c>
      <c r="X124" s="84">
        <f t="shared" si="79"/>
        <v>49.261411849766517</v>
      </c>
      <c r="Y124" s="84">
        <f t="shared" si="79"/>
        <v>48.314505444821293</v>
      </c>
      <c r="Z124" s="84">
        <f t="shared" si="79"/>
        <v>47.36444268519292</v>
      </c>
      <c r="AA124" s="84">
        <f t="shared" si="79"/>
        <v>46.411213049699114</v>
      </c>
      <c r="AB124" s="84">
        <f t="shared" si="79"/>
        <v>45.454805982087002</v>
      </c>
      <c r="AC124" s="85">
        <f t="shared" si="58"/>
        <v>469.68677129224216</v>
      </c>
      <c r="AD124" s="84">
        <f t="shared" ref="AD124:AO124" si="80">AD64</f>
        <v>44.495210890916184</v>
      </c>
      <c r="AE124" s="84">
        <f t="shared" si="80"/>
        <v>43.532417149441457</v>
      </c>
      <c r="AF124" s="84">
        <f t="shared" si="80"/>
        <v>42.566414095495148</v>
      </c>
      <c r="AG124" s="84">
        <f t="shared" si="80"/>
        <v>41.597191031369022</v>
      </c>
      <c r="AH124" s="84">
        <f t="shared" si="80"/>
        <v>40.62473722369581</v>
      </c>
      <c r="AI124" s="84">
        <f t="shared" si="80"/>
        <v>39.64904190333035</v>
      </c>
      <c r="AJ124" s="84">
        <f t="shared" si="80"/>
        <v>38.670094265230333</v>
      </c>
      <c r="AK124" s="84">
        <f t="shared" si="80"/>
        <v>37.687883468336658</v>
      </c>
      <c r="AL124" s="84">
        <f t="shared" si="80"/>
        <v>36.702398635453342</v>
      </c>
      <c r="AM124" s="84">
        <f t="shared" si="80"/>
        <v>35.713628853127076</v>
      </c>
      <c r="AN124" s="84">
        <f t="shared" si="80"/>
        <v>34.721563171526384</v>
      </c>
      <c r="AO124" s="84">
        <f t="shared" si="80"/>
        <v>33.726190604320358</v>
      </c>
    </row>
    <row r="125" spans="2:41" s="73" customFormat="1" ht="13.5" customHeight="1" x14ac:dyDescent="0.3">
      <c r="B125" s="86" t="s">
        <v>244</v>
      </c>
      <c r="C125" s="85">
        <f t="shared" si="54"/>
        <v>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5">
        <f t="shared" si="56"/>
        <v>3682.7970300749521</v>
      </c>
      <c r="Q125" s="84"/>
      <c r="R125" s="84"/>
      <c r="S125" s="84"/>
      <c r="T125" s="84"/>
      <c r="U125" s="84">
        <f>C70</f>
        <v>1841.3985150374763</v>
      </c>
      <c r="V125" s="84">
        <f>C70/2</f>
        <v>920.69925751873814</v>
      </c>
      <c r="W125" s="84"/>
      <c r="X125" s="84"/>
      <c r="Y125" s="84">
        <f>C70/4</f>
        <v>460.34962875936907</v>
      </c>
      <c r="Z125" s="84"/>
      <c r="AA125" s="84"/>
      <c r="AB125" s="84">
        <f>C70/4</f>
        <v>460.34962875936907</v>
      </c>
      <c r="AC125" s="85">
        <f t="shared" si="58"/>
        <v>17422.324801200179</v>
      </c>
      <c r="AD125" s="84"/>
      <c r="AE125" s="84"/>
      <c r="AF125" s="84">
        <f>$P$70/4</f>
        <v>2407.9654145297072</v>
      </c>
      <c r="AG125" s="84"/>
      <c r="AH125" s="84">
        <f>P70-C70</f>
        <v>7790.4631430813524</v>
      </c>
      <c r="AI125" s="84">
        <f>$P$70/4</f>
        <v>2407.9654145297072</v>
      </c>
      <c r="AJ125" s="84"/>
      <c r="AK125" s="84"/>
      <c r="AL125" s="84">
        <f>$P$70/4</f>
        <v>2407.9654145297072</v>
      </c>
      <c r="AM125" s="84"/>
      <c r="AN125" s="84"/>
      <c r="AO125" s="84">
        <f>$P$70/4</f>
        <v>2407.9654145297072</v>
      </c>
    </row>
    <row r="126" spans="2:41" s="73" customFormat="1" ht="13.5" customHeight="1" x14ac:dyDescent="0.3">
      <c r="B126" s="84" t="s">
        <v>260</v>
      </c>
      <c r="C126" s="85">
        <f t="shared" si="54"/>
        <v>14396.666666666668</v>
      </c>
      <c r="D126" s="84"/>
      <c r="E126" s="84">
        <f t="shared" ref="E126:O126" si="81">D141</f>
        <v>0</v>
      </c>
      <c r="F126" s="84">
        <f t="shared" si="81"/>
        <v>1076.666666666667</v>
      </c>
      <c r="G126" s="84">
        <f t="shared" si="81"/>
        <v>1480.0000000000002</v>
      </c>
      <c r="H126" s="84">
        <f t="shared" si="81"/>
        <v>1480.0000000000002</v>
      </c>
      <c r="I126" s="84">
        <f t="shared" si="81"/>
        <v>1480.0000000000002</v>
      </c>
      <c r="J126" s="84">
        <f t="shared" si="81"/>
        <v>1480.0000000000002</v>
      </c>
      <c r="K126" s="84">
        <f t="shared" si="81"/>
        <v>1480.0000000000002</v>
      </c>
      <c r="L126" s="84">
        <f t="shared" si="81"/>
        <v>1480.0000000000002</v>
      </c>
      <c r="M126" s="84">
        <f t="shared" si="81"/>
        <v>1480.0000000000002</v>
      </c>
      <c r="N126" s="84">
        <f t="shared" si="81"/>
        <v>1480.0000000000002</v>
      </c>
      <c r="O126" s="84">
        <f t="shared" si="81"/>
        <v>1480.0000000000002</v>
      </c>
      <c r="P126" s="85">
        <f t="shared" si="56"/>
        <v>40718.333333333328</v>
      </c>
      <c r="Q126" s="84">
        <f>O141</f>
        <v>1480.0000000000002</v>
      </c>
      <c r="R126" s="84">
        <f t="shared" ref="R126:AB126" si="82">Q141</f>
        <v>1521.666666666667</v>
      </c>
      <c r="S126" s="84">
        <f t="shared" si="82"/>
        <v>3771.6666666666665</v>
      </c>
      <c r="T126" s="84">
        <f t="shared" si="82"/>
        <v>3771.6666666666665</v>
      </c>
      <c r="U126" s="84">
        <f t="shared" si="82"/>
        <v>3771.6666666666665</v>
      </c>
      <c r="V126" s="84">
        <f t="shared" si="82"/>
        <v>3771.6666666666665</v>
      </c>
      <c r="W126" s="84">
        <f t="shared" si="82"/>
        <v>3771.6666666666665</v>
      </c>
      <c r="X126" s="84">
        <f t="shared" si="82"/>
        <v>3771.6666666666665</v>
      </c>
      <c r="Y126" s="84">
        <f t="shared" si="82"/>
        <v>3771.6666666666665</v>
      </c>
      <c r="Z126" s="84">
        <f t="shared" si="82"/>
        <v>3771.6666666666665</v>
      </c>
      <c r="AA126" s="84">
        <f t="shared" si="82"/>
        <v>3771.6666666666665</v>
      </c>
      <c r="AB126" s="84">
        <f t="shared" si="82"/>
        <v>3771.6666666666665</v>
      </c>
      <c r="AC126" s="85">
        <f t="shared" si="58"/>
        <v>72968.333333333328</v>
      </c>
      <c r="AD126" s="84">
        <f>AB141</f>
        <v>3771.6666666666665</v>
      </c>
      <c r="AE126" s="84">
        <f t="shared" ref="AE126:AO126" si="83">AD141</f>
        <v>3730</v>
      </c>
      <c r="AF126" s="84">
        <f t="shared" si="83"/>
        <v>6546.6666666666661</v>
      </c>
      <c r="AG126" s="84">
        <f t="shared" si="83"/>
        <v>6546.6666666666661</v>
      </c>
      <c r="AH126" s="84">
        <f t="shared" si="83"/>
        <v>6546.6666666666661</v>
      </c>
      <c r="AI126" s="84">
        <f t="shared" si="83"/>
        <v>6546.6666666666661</v>
      </c>
      <c r="AJ126" s="84">
        <f t="shared" si="83"/>
        <v>6546.6666666666661</v>
      </c>
      <c r="AK126" s="84">
        <f t="shared" si="83"/>
        <v>6546.6666666666661</v>
      </c>
      <c r="AL126" s="84">
        <f t="shared" si="83"/>
        <v>6546.6666666666661</v>
      </c>
      <c r="AM126" s="84">
        <f t="shared" si="83"/>
        <v>6546.6666666666661</v>
      </c>
      <c r="AN126" s="84">
        <f t="shared" si="83"/>
        <v>6546.6666666666661</v>
      </c>
      <c r="AO126" s="84">
        <f t="shared" si="83"/>
        <v>6546.6666666666661</v>
      </c>
    </row>
    <row r="127" spans="2:41" s="73" customFormat="1" ht="13.5" customHeight="1" x14ac:dyDescent="0.3"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</row>
    <row r="128" spans="2:41" ht="13.5" customHeight="1" x14ac:dyDescent="0.3">
      <c r="B128" s="81" t="s">
        <v>224</v>
      </c>
      <c r="C128" s="81">
        <f t="shared" ref="C128:AO128" si="84">C111-C117</f>
        <v>31630.156766916509</v>
      </c>
      <c r="D128" s="81">
        <f t="shared" si="84"/>
        <v>25516.666666666664</v>
      </c>
      <c r="E128" s="81">
        <f t="shared" si="84"/>
        <v>1860.0555555555584</v>
      </c>
      <c r="F128" s="81">
        <f t="shared" si="84"/>
        <v>784.28074074074357</v>
      </c>
      <c r="G128" s="81">
        <f t="shared" si="84"/>
        <v>381.84223209876836</v>
      </c>
      <c r="H128" s="81">
        <f t="shared" si="84"/>
        <v>382.74003953909778</v>
      </c>
      <c r="I128" s="81">
        <f t="shared" si="84"/>
        <v>383.64083967089391</v>
      </c>
      <c r="J128" s="81">
        <f t="shared" si="84"/>
        <v>384.5446424697966</v>
      </c>
      <c r="K128" s="81">
        <f t="shared" si="84"/>
        <v>385.45145794469681</v>
      </c>
      <c r="L128" s="81">
        <f t="shared" si="84"/>
        <v>386.36129613784578</v>
      </c>
      <c r="M128" s="81">
        <f t="shared" si="84"/>
        <v>387.27416712497143</v>
      </c>
      <c r="N128" s="81">
        <f t="shared" si="84"/>
        <v>388.19008101538748</v>
      </c>
      <c r="O128" s="81">
        <f t="shared" si="84"/>
        <v>389.10904795210627</v>
      </c>
      <c r="P128" s="81">
        <f t="shared" si="84"/>
        <v>40420.982935733715</v>
      </c>
      <c r="Q128" s="81">
        <f t="shared" si="84"/>
        <v>-4162.63558855472</v>
      </c>
      <c r="R128" s="81">
        <f t="shared" si="84"/>
        <v>6428.6228483723171</v>
      </c>
      <c r="S128" s="81">
        <f t="shared" si="84"/>
        <v>4179.5510356446684</v>
      </c>
      <c r="T128" s="81">
        <f t="shared" si="84"/>
        <v>4180.482316874597</v>
      </c>
      <c r="U128" s="81">
        <f t="shared" si="84"/>
        <v>2340.0181873378133</v>
      </c>
      <c r="V128" s="81">
        <f t="shared" si="84"/>
        <v>3261.6549449755767</v>
      </c>
      <c r="W128" s="81">
        <f t="shared" si="84"/>
        <v>4183.2948276137431</v>
      </c>
      <c r="X128" s="81">
        <f t="shared" si="84"/>
        <v>4184.2385881502341</v>
      </c>
      <c r="Y128" s="81">
        <f t="shared" si="84"/>
        <v>3724.8358657958088</v>
      </c>
      <c r="Z128" s="81">
        <f t="shared" si="84"/>
        <v>4186.1355573148066</v>
      </c>
      <c r="AA128" s="81">
        <f t="shared" si="84"/>
        <v>4187.0887869503022</v>
      </c>
      <c r="AB128" s="81">
        <f t="shared" si="84"/>
        <v>3727.695565258542</v>
      </c>
      <c r="AC128" s="81">
        <f t="shared" si="84"/>
        <v>65114.155094174319</v>
      </c>
      <c r="AD128" s="81">
        <f t="shared" si="84"/>
        <v>-2237.6618775575844</v>
      </c>
      <c r="AE128" s="81">
        <f t="shared" si="84"/>
        <v>10262.467582850557</v>
      </c>
      <c r="AF128" s="81">
        <f t="shared" si="84"/>
        <v>5038.8015047081353</v>
      </c>
      <c r="AG128" s="81">
        <f t="shared" si="84"/>
        <v>7447.7361423019684</v>
      </c>
      <c r="AH128" s="81">
        <f t="shared" si="84"/>
        <v>-341.75454697171517</v>
      </c>
      <c r="AI128" s="81">
        <f t="shared" si="84"/>
        <v>5041.7188769002969</v>
      </c>
      <c r="AJ128" s="81">
        <f t="shared" si="84"/>
        <v>7450.6632390681043</v>
      </c>
      <c r="AK128" s="81">
        <f t="shared" si="84"/>
        <v>7451.6454498649982</v>
      </c>
      <c r="AL128" s="81">
        <f t="shared" si="84"/>
        <v>5044.6655201681715</v>
      </c>
      <c r="AM128" s="81">
        <f t="shared" si="84"/>
        <v>7453.6197044802102</v>
      </c>
      <c r="AN128" s="81">
        <f t="shared" si="84"/>
        <v>7454.6117701618059</v>
      </c>
      <c r="AO128" s="81">
        <f t="shared" si="84"/>
        <v>5047.6417281993054</v>
      </c>
    </row>
    <row r="129" spans="2:41" s="73" customFormat="1" ht="13.5" customHeight="1" x14ac:dyDescent="0.3">
      <c r="B129" s="80" t="s">
        <v>261</v>
      </c>
      <c r="C129" s="80">
        <f>O129</f>
        <v>31630.15676691652</v>
      </c>
      <c r="D129" s="80">
        <f t="shared" ref="D129:O129" si="85">D109+D111-D117</f>
        <v>25516.666666666664</v>
      </c>
      <c r="E129" s="80">
        <f t="shared" si="85"/>
        <v>27376.722222222219</v>
      </c>
      <c r="F129" s="80">
        <f t="shared" si="85"/>
        <v>28161.002962962961</v>
      </c>
      <c r="G129" s="80">
        <f t="shared" si="85"/>
        <v>28542.845195061731</v>
      </c>
      <c r="H129" s="80">
        <f t="shared" si="85"/>
        <v>28925.585234600825</v>
      </c>
      <c r="I129" s="80">
        <f t="shared" si="85"/>
        <v>29309.226074271719</v>
      </c>
      <c r="J129" s="80">
        <f t="shared" si="85"/>
        <v>29693.770716741514</v>
      </c>
      <c r="K129" s="80">
        <f t="shared" si="85"/>
        <v>30079.222174686209</v>
      </c>
      <c r="L129" s="80">
        <f t="shared" si="85"/>
        <v>30465.583470824058</v>
      </c>
      <c r="M129" s="80">
        <f t="shared" si="85"/>
        <v>30852.857637949026</v>
      </c>
      <c r="N129" s="80">
        <f t="shared" si="85"/>
        <v>31241.047718964412</v>
      </c>
      <c r="O129" s="80">
        <f t="shared" si="85"/>
        <v>31630.15676691652</v>
      </c>
      <c r="P129" s="80">
        <f>AB129</f>
        <v>72051.139702650224</v>
      </c>
      <c r="Q129" s="80">
        <f t="shared" ref="Q129:AB129" si="86">Q109+Q111-Q117</f>
        <v>27467.5211783618</v>
      </c>
      <c r="R129" s="80">
        <f t="shared" si="86"/>
        <v>33896.144026734117</v>
      </c>
      <c r="S129" s="80">
        <f t="shared" si="86"/>
        <v>38075.695062378785</v>
      </c>
      <c r="T129" s="80">
        <f t="shared" si="86"/>
        <v>42256.177379253379</v>
      </c>
      <c r="U129" s="80">
        <f t="shared" si="86"/>
        <v>44596.195566591196</v>
      </c>
      <c r="V129" s="80">
        <f t="shared" si="86"/>
        <v>47857.850511566772</v>
      </c>
      <c r="W129" s="80">
        <f t="shared" si="86"/>
        <v>52041.145339180512</v>
      </c>
      <c r="X129" s="80">
        <f t="shared" si="86"/>
        <v>56225.383927330746</v>
      </c>
      <c r="Y129" s="80">
        <f t="shared" si="86"/>
        <v>59950.219793126562</v>
      </c>
      <c r="Z129" s="80">
        <f t="shared" si="86"/>
        <v>64136.355350441372</v>
      </c>
      <c r="AA129" s="80">
        <f t="shared" si="86"/>
        <v>68323.444137391678</v>
      </c>
      <c r="AB129" s="80">
        <f t="shared" si="86"/>
        <v>72051.139702650224</v>
      </c>
      <c r="AC129" s="80">
        <f>AO129</f>
        <v>137165.29479682446</v>
      </c>
      <c r="AD129" s="80">
        <f t="shared" ref="AD129:AO129" si="87">AD109+AD111-AD117</f>
        <v>69813.477825092647</v>
      </c>
      <c r="AE129" s="80">
        <f t="shared" si="87"/>
        <v>80075.945407943203</v>
      </c>
      <c r="AF129" s="80">
        <f t="shared" si="87"/>
        <v>85114.746912651346</v>
      </c>
      <c r="AG129" s="80">
        <f t="shared" si="87"/>
        <v>92562.483054953307</v>
      </c>
      <c r="AH129" s="80">
        <f t="shared" si="87"/>
        <v>92220.728507981592</v>
      </c>
      <c r="AI129" s="80">
        <f t="shared" si="87"/>
        <v>97262.447384881874</v>
      </c>
      <c r="AJ129" s="80">
        <f t="shared" si="87"/>
        <v>104713.11062394998</v>
      </c>
      <c r="AK129" s="80">
        <f t="shared" si="87"/>
        <v>112164.75607381496</v>
      </c>
      <c r="AL129" s="80">
        <f t="shared" si="87"/>
        <v>117209.42159398313</v>
      </c>
      <c r="AM129" s="80">
        <f t="shared" si="87"/>
        <v>124663.04129846334</v>
      </c>
      <c r="AN129" s="80">
        <f t="shared" si="87"/>
        <v>132117.65306862516</v>
      </c>
      <c r="AO129" s="80">
        <f t="shared" si="87"/>
        <v>137165.29479682446</v>
      </c>
    </row>
    <row r="130" spans="2:41" s="73" customFormat="1" ht="13.5" customHeight="1" x14ac:dyDescent="0.3">
      <c r="C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7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2:41" s="73" customFormat="1" ht="13.5" customHeight="1" x14ac:dyDescent="0.3">
      <c r="B131" s="74" t="s">
        <v>307</v>
      </c>
      <c r="C131" s="75"/>
      <c r="D131" s="76"/>
      <c r="E131" s="76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AC131" s="75"/>
    </row>
    <row r="132" spans="2:41" s="73" customFormat="1" ht="13.5" customHeight="1" x14ac:dyDescent="0.3">
      <c r="B132" s="74"/>
      <c r="C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AC132" s="77"/>
    </row>
    <row r="133" spans="2:41" s="78" customFormat="1" ht="13.5" customHeight="1" x14ac:dyDescent="0.3">
      <c r="C133" s="77"/>
      <c r="D133" s="79">
        <v>46053</v>
      </c>
      <c r="E133" s="79">
        <v>46081</v>
      </c>
      <c r="F133" s="79">
        <v>46112</v>
      </c>
      <c r="G133" s="79">
        <v>46142</v>
      </c>
      <c r="H133" s="79">
        <v>46173</v>
      </c>
      <c r="I133" s="79">
        <v>46203</v>
      </c>
      <c r="J133" s="79">
        <v>46234</v>
      </c>
      <c r="K133" s="79">
        <v>46265</v>
      </c>
      <c r="L133" s="79">
        <v>46295</v>
      </c>
      <c r="M133" s="79">
        <v>46326</v>
      </c>
      <c r="N133" s="79">
        <v>46356</v>
      </c>
      <c r="O133" s="79">
        <v>46387</v>
      </c>
      <c r="P133" s="77"/>
      <c r="Q133" s="79">
        <v>46418</v>
      </c>
      <c r="R133" s="79">
        <v>46446</v>
      </c>
      <c r="S133" s="79">
        <v>46477</v>
      </c>
      <c r="T133" s="79">
        <v>46507</v>
      </c>
      <c r="U133" s="79">
        <v>46538</v>
      </c>
      <c r="V133" s="79">
        <v>46568</v>
      </c>
      <c r="W133" s="79">
        <v>46599</v>
      </c>
      <c r="X133" s="79">
        <v>46630</v>
      </c>
      <c r="Y133" s="79">
        <v>46660</v>
      </c>
      <c r="Z133" s="79">
        <v>46691</v>
      </c>
      <c r="AA133" s="79">
        <v>46721</v>
      </c>
      <c r="AB133" s="79">
        <v>46752</v>
      </c>
      <c r="AC133" s="77"/>
      <c r="AD133" s="79">
        <v>46783</v>
      </c>
      <c r="AE133" s="79">
        <v>46811</v>
      </c>
      <c r="AF133" s="79">
        <v>46839</v>
      </c>
      <c r="AG133" s="79">
        <v>46867</v>
      </c>
      <c r="AH133" s="79">
        <v>46895</v>
      </c>
      <c r="AI133" s="79">
        <v>46923</v>
      </c>
      <c r="AJ133" s="79">
        <v>46951</v>
      </c>
      <c r="AK133" s="79">
        <v>46979</v>
      </c>
      <c r="AL133" s="79">
        <v>47007</v>
      </c>
      <c r="AM133" s="79">
        <v>47035</v>
      </c>
      <c r="AN133" s="79">
        <v>47063</v>
      </c>
      <c r="AO133" s="79">
        <v>47091</v>
      </c>
    </row>
    <row r="134" spans="2:41" s="73" customFormat="1" ht="13.5" customHeight="1" x14ac:dyDescent="0.3">
      <c r="C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AC134" s="77"/>
    </row>
    <row r="135" spans="2:41" s="2" customFormat="1" ht="13.5" customHeight="1" x14ac:dyDescent="0.3">
      <c r="B135" s="86" t="s">
        <v>308</v>
      </c>
      <c r="C135" s="85">
        <f>SUM(D135:O135)</f>
        <v>20716.666666666668</v>
      </c>
      <c r="D135" s="86"/>
      <c r="E135" s="86">
        <f t="shared" ref="E135:O135" si="88">E113/6</f>
        <v>1883.3333333333337</v>
      </c>
      <c r="F135" s="86">
        <f t="shared" si="88"/>
        <v>1883.3333333333337</v>
      </c>
      <c r="G135" s="86">
        <f t="shared" si="88"/>
        <v>1883.3333333333337</v>
      </c>
      <c r="H135" s="86">
        <f t="shared" si="88"/>
        <v>1883.3333333333337</v>
      </c>
      <c r="I135" s="86">
        <f t="shared" si="88"/>
        <v>1883.3333333333337</v>
      </c>
      <c r="J135" s="86">
        <f t="shared" si="88"/>
        <v>1883.3333333333337</v>
      </c>
      <c r="K135" s="86">
        <f t="shared" si="88"/>
        <v>1883.3333333333337</v>
      </c>
      <c r="L135" s="86">
        <f t="shared" si="88"/>
        <v>1883.3333333333337</v>
      </c>
      <c r="M135" s="86">
        <f t="shared" si="88"/>
        <v>1883.3333333333337</v>
      </c>
      <c r="N135" s="86">
        <f t="shared" si="88"/>
        <v>1883.3333333333337</v>
      </c>
      <c r="O135" s="86">
        <f t="shared" si="88"/>
        <v>1883.3333333333337</v>
      </c>
      <c r="P135" s="85">
        <f>SUM(Q135:AB135)</f>
        <v>47350</v>
      </c>
      <c r="Q135" s="86">
        <f t="shared" ref="Q135:AB135" si="89">Q113/6</f>
        <v>1883.3333333333337</v>
      </c>
      <c r="R135" s="86">
        <f t="shared" si="89"/>
        <v>4133.333333333333</v>
      </c>
      <c r="S135" s="86">
        <f t="shared" si="89"/>
        <v>4133.333333333333</v>
      </c>
      <c r="T135" s="86">
        <f t="shared" si="89"/>
        <v>4133.333333333333</v>
      </c>
      <c r="U135" s="86">
        <f t="shared" si="89"/>
        <v>4133.333333333333</v>
      </c>
      <c r="V135" s="86">
        <f t="shared" si="89"/>
        <v>4133.333333333333</v>
      </c>
      <c r="W135" s="86">
        <f t="shared" si="89"/>
        <v>4133.333333333333</v>
      </c>
      <c r="X135" s="86">
        <f t="shared" si="89"/>
        <v>4133.333333333333</v>
      </c>
      <c r="Y135" s="86">
        <f t="shared" si="89"/>
        <v>4133.333333333333</v>
      </c>
      <c r="Z135" s="86">
        <f t="shared" si="89"/>
        <v>4133.333333333333</v>
      </c>
      <c r="AA135" s="86">
        <f t="shared" si="89"/>
        <v>4133.333333333333</v>
      </c>
      <c r="AB135" s="86">
        <f t="shared" si="89"/>
        <v>4133.333333333333</v>
      </c>
      <c r="AC135" s="85">
        <f>SUM(AD135:AO135)</f>
        <v>80583.333333333328</v>
      </c>
      <c r="AD135" s="86">
        <f t="shared" ref="AD135:AO135" si="90">AD113/6</f>
        <v>4133.333333333333</v>
      </c>
      <c r="AE135" s="86">
        <f t="shared" si="90"/>
        <v>6950</v>
      </c>
      <c r="AF135" s="86">
        <f t="shared" si="90"/>
        <v>6950</v>
      </c>
      <c r="AG135" s="86">
        <f t="shared" si="90"/>
        <v>6950</v>
      </c>
      <c r="AH135" s="86">
        <f t="shared" si="90"/>
        <v>6950</v>
      </c>
      <c r="AI135" s="86">
        <f t="shared" si="90"/>
        <v>6950</v>
      </c>
      <c r="AJ135" s="86">
        <f t="shared" si="90"/>
        <v>6950</v>
      </c>
      <c r="AK135" s="86">
        <f t="shared" si="90"/>
        <v>6950</v>
      </c>
      <c r="AL135" s="86">
        <f t="shared" si="90"/>
        <v>6950</v>
      </c>
      <c r="AM135" s="86">
        <f t="shared" si="90"/>
        <v>6950</v>
      </c>
      <c r="AN135" s="86">
        <f t="shared" si="90"/>
        <v>6950</v>
      </c>
      <c r="AO135" s="86">
        <f t="shared" si="90"/>
        <v>6950</v>
      </c>
    </row>
    <row r="136" spans="2:41" s="2" customFormat="1" ht="13.5" customHeight="1" x14ac:dyDescent="0.3">
      <c r="B136" s="86" t="s">
        <v>309</v>
      </c>
      <c r="C136" s="85">
        <f>SUM(D136:O136)</f>
        <v>-1099.9999999999998</v>
      </c>
      <c r="D136" s="86">
        <f t="shared" ref="D136:O136" si="91">-D85*20%</f>
        <v>-91.666666666666671</v>
      </c>
      <c r="E136" s="86">
        <f t="shared" si="91"/>
        <v>-91.666666666666671</v>
      </c>
      <c r="F136" s="86">
        <f t="shared" si="91"/>
        <v>-91.666666666666671</v>
      </c>
      <c r="G136" s="86">
        <f t="shared" si="91"/>
        <v>-91.666666666666671</v>
      </c>
      <c r="H136" s="86">
        <f t="shared" si="91"/>
        <v>-91.666666666666671</v>
      </c>
      <c r="I136" s="86">
        <f t="shared" si="91"/>
        <v>-91.666666666666671</v>
      </c>
      <c r="J136" s="86">
        <f t="shared" si="91"/>
        <v>-91.666666666666671</v>
      </c>
      <c r="K136" s="86">
        <f t="shared" si="91"/>
        <v>-91.666666666666671</v>
      </c>
      <c r="L136" s="86">
        <f t="shared" si="91"/>
        <v>-91.666666666666671</v>
      </c>
      <c r="M136" s="86">
        <f t="shared" si="91"/>
        <v>-91.666666666666671</v>
      </c>
      <c r="N136" s="86">
        <f t="shared" si="91"/>
        <v>-91.666666666666671</v>
      </c>
      <c r="O136" s="86">
        <f t="shared" si="91"/>
        <v>-91.666666666666671</v>
      </c>
      <c r="P136" s="85">
        <f>SUM(Q136:AB136)</f>
        <v>-399.99999999999994</v>
      </c>
      <c r="Q136" s="86">
        <f t="shared" ref="Q136:AB136" si="92">-Q85*20%</f>
        <v>-33.333333333333336</v>
      </c>
      <c r="R136" s="86">
        <f t="shared" si="92"/>
        <v>-33.333333333333336</v>
      </c>
      <c r="S136" s="86">
        <f t="shared" si="92"/>
        <v>-33.333333333333336</v>
      </c>
      <c r="T136" s="86">
        <f t="shared" si="92"/>
        <v>-33.333333333333336</v>
      </c>
      <c r="U136" s="86">
        <f t="shared" si="92"/>
        <v>-33.333333333333336</v>
      </c>
      <c r="V136" s="86">
        <f t="shared" si="92"/>
        <v>-33.333333333333336</v>
      </c>
      <c r="W136" s="86">
        <f t="shared" si="92"/>
        <v>-33.333333333333336</v>
      </c>
      <c r="X136" s="86">
        <f t="shared" si="92"/>
        <v>-33.333333333333336</v>
      </c>
      <c r="Y136" s="86">
        <f t="shared" si="92"/>
        <v>-33.333333333333336</v>
      </c>
      <c r="Z136" s="86">
        <f t="shared" si="92"/>
        <v>-33.333333333333336</v>
      </c>
      <c r="AA136" s="86">
        <f t="shared" si="92"/>
        <v>-33.333333333333336</v>
      </c>
      <c r="AB136" s="86">
        <f t="shared" si="92"/>
        <v>-33.333333333333336</v>
      </c>
      <c r="AC136" s="85">
        <f>SUM(AD136:AO136)</f>
        <v>-500.00000000000006</v>
      </c>
      <c r="AD136" s="86">
        <f t="shared" ref="AD136:AO136" si="93">-AD85*20%</f>
        <v>-41.666666666666664</v>
      </c>
      <c r="AE136" s="86">
        <f t="shared" si="93"/>
        <v>-41.666666666666664</v>
      </c>
      <c r="AF136" s="86">
        <f t="shared" si="93"/>
        <v>-41.666666666666664</v>
      </c>
      <c r="AG136" s="86">
        <f t="shared" si="93"/>
        <v>-41.666666666666664</v>
      </c>
      <c r="AH136" s="86">
        <f t="shared" si="93"/>
        <v>-41.666666666666664</v>
      </c>
      <c r="AI136" s="86">
        <f t="shared" si="93"/>
        <v>-41.666666666666664</v>
      </c>
      <c r="AJ136" s="86">
        <f t="shared" si="93"/>
        <v>-41.666666666666664</v>
      </c>
      <c r="AK136" s="86">
        <f t="shared" si="93"/>
        <v>-41.666666666666664</v>
      </c>
      <c r="AL136" s="86">
        <f t="shared" si="93"/>
        <v>-41.666666666666664</v>
      </c>
      <c r="AM136" s="86">
        <f t="shared" si="93"/>
        <v>-41.666666666666664</v>
      </c>
      <c r="AN136" s="86">
        <f t="shared" si="93"/>
        <v>-41.666666666666664</v>
      </c>
      <c r="AO136" s="86">
        <f t="shared" si="93"/>
        <v>-41.666666666666664</v>
      </c>
    </row>
    <row r="137" spans="2:41" s="2" customFormat="1" ht="13.5" customHeight="1" x14ac:dyDescent="0.3">
      <c r="B137" s="86" t="s">
        <v>310</v>
      </c>
      <c r="C137" s="85">
        <f>SUM(D137:O137)</f>
        <v>-3739.9999999999995</v>
      </c>
      <c r="D137" s="86">
        <f t="shared" ref="D137:O137" si="94">-(D42+D53+D54)*20%</f>
        <v>-311.66666666666669</v>
      </c>
      <c r="E137" s="86">
        <f t="shared" si="94"/>
        <v>-311.66666666666669</v>
      </c>
      <c r="F137" s="86">
        <f t="shared" si="94"/>
        <v>-311.66666666666669</v>
      </c>
      <c r="G137" s="86">
        <f t="shared" si="94"/>
        <v>-311.66666666666669</v>
      </c>
      <c r="H137" s="86">
        <f t="shared" si="94"/>
        <v>-311.66666666666669</v>
      </c>
      <c r="I137" s="86">
        <f t="shared" si="94"/>
        <v>-311.66666666666669</v>
      </c>
      <c r="J137" s="86">
        <f t="shared" si="94"/>
        <v>-311.66666666666669</v>
      </c>
      <c r="K137" s="86">
        <f t="shared" si="94"/>
        <v>-311.66666666666669</v>
      </c>
      <c r="L137" s="86">
        <f t="shared" si="94"/>
        <v>-311.66666666666669</v>
      </c>
      <c r="M137" s="86">
        <f t="shared" si="94"/>
        <v>-311.66666666666669</v>
      </c>
      <c r="N137" s="86">
        <f t="shared" si="94"/>
        <v>-311.66666666666669</v>
      </c>
      <c r="O137" s="86">
        <f t="shared" si="94"/>
        <v>-311.66666666666669</v>
      </c>
      <c r="P137" s="85">
        <f>SUM(Q137:AB137)</f>
        <v>-3940.0000000000014</v>
      </c>
      <c r="Q137" s="86">
        <f t="shared" ref="Q137:AB137" si="95">-(Q42+Q53+Q54)*20%</f>
        <v>-328.33333333333337</v>
      </c>
      <c r="R137" s="86">
        <f t="shared" si="95"/>
        <v>-328.33333333333337</v>
      </c>
      <c r="S137" s="86">
        <f t="shared" si="95"/>
        <v>-328.33333333333337</v>
      </c>
      <c r="T137" s="86">
        <f t="shared" si="95"/>
        <v>-328.33333333333337</v>
      </c>
      <c r="U137" s="86">
        <f t="shared" si="95"/>
        <v>-328.33333333333337</v>
      </c>
      <c r="V137" s="86">
        <f t="shared" si="95"/>
        <v>-328.33333333333337</v>
      </c>
      <c r="W137" s="86">
        <f t="shared" si="95"/>
        <v>-328.33333333333337</v>
      </c>
      <c r="X137" s="86">
        <f t="shared" si="95"/>
        <v>-328.33333333333337</v>
      </c>
      <c r="Y137" s="86">
        <f t="shared" si="95"/>
        <v>-328.33333333333337</v>
      </c>
      <c r="Z137" s="86">
        <f t="shared" si="95"/>
        <v>-328.33333333333337</v>
      </c>
      <c r="AA137" s="86">
        <f t="shared" si="95"/>
        <v>-328.33333333333337</v>
      </c>
      <c r="AB137" s="86">
        <f t="shared" si="95"/>
        <v>-328.33333333333337</v>
      </c>
      <c r="AC137" s="85">
        <f>SUM(AD137:AO137)</f>
        <v>-4340.0000000000018</v>
      </c>
      <c r="AD137" s="86">
        <f t="shared" ref="AD137:AO137" si="96">-(AD42+AD53+AD54)*20%</f>
        <v>-361.66666666666674</v>
      </c>
      <c r="AE137" s="86">
        <f t="shared" si="96"/>
        <v>-361.66666666666674</v>
      </c>
      <c r="AF137" s="86">
        <f t="shared" si="96"/>
        <v>-361.66666666666674</v>
      </c>
      <c r="AG137" s="86">
        <f t="shared" si="96"/>
        <v>-361.66666666666674</v>
      </c>
      <c r="AH137" s="86">
        <f t="shared" si="96"/>
        <v>-361.66666666666674</v>
      </c>
      <c r="AI137" s="86">
        <f t="shared" si="96"/>
        <v>-361.66666666666674</v>
      </c>
      <c r="AJ137" s="86">
        <f t="shared" si="96"/>
        <v>-361.66666666666674</v>
      </c>
      <c r="AK137" s="86">
        <f t="shared" si="96"/>
        <v>-361.66666666666674</v>
      </c>
      <c r="AL137" s="86">
        <f t="shared" si="96"/>
        <v>-361.66666666666674</v>
      </c>
      <c r="AM137" s="86">
        <f t="shared" si="96"/>
        <v>-361.66666666666674</v>
      </c>
      <c r="AN137" s="86">
        <f t="shared" si="96"/>
        <v>-361.66666666666674</v>
      </c>
      <c r="AO137" s="86">
        <f t="shared" si="96"/>
        <v>-361.66666666666674</v>
      </c>
    </row>
    <row r="138" spans="2:41" s="2" customFormat="1" ht="13.5" customHeight="1" x14ac:dyDescent="0.3">
      <c r="B138" s="86" t="s">
        <v>311</v>
      </c>
      <c r="C138" s="85">
        <f>SUM(D138:O138)</f>
        <v>0</v>
      </c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5">
        <f>SUM(Q138:AB138)</f>
        <v>0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5">
        <f>SUM(AD138:AO138)</f>
        <v>0</v>
      </c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2:41" s="2" customFormat="1" ht="13.5" customHeight="1" x14ac:dyDescent="0.3">
      <c r="B139" s="86" t="s">
        <v>312</v>
      </c>
      <c r="C139" s="85">
        <f>SUM(D139:O139)</f>
        <v>-403.33333333333337</v>
      </c>
      <c r="D139" s="86">
        <f>-Bilan!C14</f>
        <v>0</v>
      </c>
      <c r="E139" s="86">
        <f t="shared" ref="E139:O139" si="97">D140</f>
        <v>-403.33333333333337</v>
      </c>
      <c r="F139" s="86">
        <f t="shared" si="97"/>
        <v>0</v>
      </c>
      <c r="G139" s="86">
        <f t="shared" si="97"/>
        <v>0</v>
      </c>
      <c r="H139" s="86">
        <f t="shared" si="97"/>
        <v>0</v>
      </c>
      <c r="I139" s="86">
        <f t="shared" si="97"/>
        <v>0</v>
      </c>
      <c r="J139" s="86">
        <f t="shared" si="97"/>
        <v>0</v>
      </c>
      <c r="K139" s="86">
        <f t="shared" si="97"/>
        <v>0</v>
      </c>
      <c r="L139" s="86">
        <f t="shared" si="97"/>
        <v>0</v>
      </c>
      <c r="M139" s="86">
        <f t="shared" si="97"/>
        <v>0</v>
      </c>
      <c r="N139" s="86">
        <f t="shared" si="97"/>
        <v>0</v>
      </c>
      <c r="O139" s="86">
        <f t="shared" si="97"/>
        <v>0</v>
      </c>
      <c r="P139" s="85">
        <f>SUM(Q139:AB139)</f>
        <v>0</v>
      </c>
      <c r="Q139" s="86">
        <f t="shared" ref="Q139:AB139" si="98">P140</f>
        <v>0</v>
      </c>
      <c r="R139" s="86">
        <f t="shared" si="98"/>
        <v>0</v>
      </c>
      <c r="S139" s="86">
        <f t="shared" si="98"/>
        <v>0</v>
      </c>
      <c r="T139" s="86">
        <f t="shared" si="98"/>
        <v>0</v>
      </c>
      <c r="U139" s="86">
        <f t="shared" si="98"/>
        <v>0</v>
      </c>
      <c r="V139" s="86">
        <f t="shared" si="98"/>
        <v>0</v>
      </c>
      <c r="W139" s="86">
        <f t="shared" si="98"/>
        <v>0</v>
      </c>
      <c r="X139" s="86">
        <f t="shared" si="98"/>
        <v>0</v>
      </c>
      <c r="Y139" s="86">
        <f t="shared" si="98"/>
        <v>0</v>
      </c>
      <c r="Z139" s="86">
        <f t="shared" si="98"/>
        <v>0</v>
      </c>
      <c r="AA139" s="86">
        <f t="shared" si="98"/>
        <v>0</v>
      </c>
      <c r="AB139" s="86">
        <f t="shared" si="98"/>
        <v>0</v>
      </c>
      <c r="AC139" s="85">
        <f>SUM(AD139:AO139)</f>
        <v>0</v>
      </c>
      <c r="AD139" s="86">
        <f>AB140</f>
        <v>0</v>
      </c>
      <c r="AE139" s="86">
        <f t="shared" ref="AE139:AO139" si="99">AD140</f>
        <v>0</v>
      </c>
      <c r="AF139" s="86">
        <f t="shared" si="99"/>
        <v>0</v>
      </c>
      <c r="AG139" s="86">
        <f t="shared" si="99"/>
        <v>0</v>
      </c>
      <c r="AH139" s="86">
        <f t="shared" si="99"/>
        <v>0</v>
      </c>
      <c r="AI139" s="86">
        <f t="shared" si="99"/>
        <v>0</v>
      </c>
      <c r="AJ139" s="86">
        <f t="shared" si="99"/>
        <v>0</v>
      </c>
      <c r="AK139" s="86">
        <f t="shared" si="99"/>
        <v>0</v>
      </c>
      <c r="AL139" s="86">
        <f t="shared" si="99"/>
        <v>0</v>
      </c>
      <c r="AM139" s="86">
        <f t="shared" si="99"/>
        <v>0</v>
      </c>
      <c r="AN139" s="86">
        <f t="shared" si="99"/>
        <v>0</v>
      </c>
      <c r="AO139" s="86">
        <f t="shared" si="99"/>
        <v>0</v>
      </c>
    </row>
    <row r="140" spans="2:41" s="76" customFormat="1" ht="13.5" customHeight="1" x14ac:dyDescent="0.3">
      <c r="B140" s="82" t="s">
        <v>313</v>
      </c>
      <c r="C140" s="83">
        <f>O140</f>
        <v>0</v>
      </c>
      <c r="D140" s="83">
        <f t="shared" ref="D140:O140" si="100">IF(SUM(D135:D139)&lt;0,SUM(D135:D139),0)</f>
        <v>-403.33333333333337</v>
      </c>
      <c r="E140" s="83">
        <f t="shared" si="100"/>
        <v>0</v>
      </c>
      <c r="F140" s="83">
        <f t="shared" si="100"/>
        <v>0</v>
      </c>
      <c r="G140" s="83">
        <f t="shared" si="100"/>
        <v>0</v>
      </c>
      <c r="H140" s="83">
        <f t="shared" si="100"/>
        <v>0</v>
      </c>
      <c r="I140" s="83">
        <f t="shared" si="100"/>
        <v>0</v>
      </c>
      <c r="J140" s="83">
        <f t="shared" si="100"/>
        <v>0</v>
      </c>
      <c r="K140" s="83">
        <f t="shared" si="100"/>
        <v>0</v>
      </c>
      <c r="L140" s="83">
        <f t="shared" si="100"/>
        <v>0</v>
      </c>
      <c r="M140" s="83">
        <f t="shared" si="100"/>
        <v>0</v>
      </c>
      <c r="N140" s="83">
        <f t="shared" si="100"/>
        <v>0</v>
      </c>
      <c r="O140" s="83">
        <f t="shared" si="100"/>
        <v>0</v>
      </c>
      <c r="P140" s="83"/>
      <c r="Q140" s="83">
        <f t="shared" ref="Q140:AB140" si="101">IF(SUM(Q135:Q139)&lt;0,SUM(Q135:Q139),0)</f>
        <v>0</v>
      </c>
      <c r="R140" s="83">
        <f t="shared" si="101"/>
        <v>0</v>
      </c>
      <c r="S140" s="83">
        <f t="shared" si="101"/>
        <v>0</v>
      </c>
      <c r="T140" s="83">
        <f t="shared" si="101"/>
        <v>0</v>
      </c>
      <c r="U140" s="83">
        <f t="shared" si="101"/>
        <v>0</v>
      </c>
      <c r="V140" s="83">
        <f t="shared" si="101"/>
        <v>0</v>
      </c>
      <c r="W140" s="83">
        <f t="shared" si="101"/>
        <v>0</v>
      </c>
      <c r="X140" s="83">
        <f t="shared" si="101"/>
        <v>0</v>
      </c>
      <c r="Y140" s="83">
        <f t="shared" si="101"/>
        <v>0</v>
      </c>
      <c r="Z140" s="83">
        <f t="shared" si="101"/>
        <v>0</v>
      </c>
      <c r="AA140" s="83">
        <f t="shared" si="101"/>
        <v>0</v>
      </c>
      <c r="AB140" s="83">
        <f t="shared" si="101"/>
        <v>0</v>
      </c>
      <c r="AC140" s="83"/>
      <c r="AD140" s="83">
        <f t="shared" ref="AD140:AO140" si="102">IF(SUM(AD135:AD139)&lt;0,SUM(AD135:AD139),0)</f>
        <v>0</v>
      </c>
      <c r="AE140" s="83">
        <f t="shared" si="102"/>
        <v>0</v>
      </c>
      <c r="AF140" s="83">
        <f t="shared" si="102"/>
        <v>0</v>
      </c>
      <c r="AG140" s="83">
        <f t="shared" si="102"/>
        <v>0</v>
      </c>
      <c r="AH140" s="83">
        <f t="shared" si="102"/>
        <v>0</v>
      </c>
      <c r="AI140" s="83">
        <f t="shared" si="102"/>
        <v>0</v>
      </c>
      <c r="AJ140" s="83">
        <f t="shared" si="102"/>
        <v>0</v>
      </c>
      <c r="AK140" s="83">
        <f t="shared" si="102"/>
        <v>0</v>
      </c>
      <c r="AL140" s="83">
        <f t="shared" si="102"/>
        <v>0</v>
      </c>
      <c r="AM140" s="83">
        <f t="shared" si="102"/>
        <v>0</v>
      </c>
      <c r="AN140" s="83">
        <f t="shared" si="102"/>
        <v>0</v>
      </c>
      <c r="AO140" s="83">
        <f t="shared" si="102"/>
        <v>0</v>
      </c>
    </row>
    <row r="141" spans="2:41" s="76" customFormat="1" ht="13.5" customHeight="1" x14ac:dyDescent="0.3">
      <c r="B141" s="80" t="s">
        <v>314</v>
      </c>
      <c r="C141" s="80">
        <f>SUM(D141:O141)</f>
        <v>15876.666666666668</v>
      </c>
      <c r="D141" s="80">
        <f t="shared" ref="D141:O141" si="103">IF(SUM(D135:D139)&gt;0,SUM(D135:D139),0)</f>
        <v>0</v>
      </c>
      <c r="E141" s="80">
        <f t="shared" si="103"/>
        <v>1076.666666666667</v>
      </c>
      <c r="F141" s="80">
        <f t="shared" si="103"/>
        <v>1480.0000000000002</v>
      </c>
      <c r="G141" s="80">
        <f t="shared" si="103"/>
        <v>1480.0000000000002</v>
      </c>
      <c r="H141" s="80">
        <f t="shared" si="103"/>
        <v>1480.0000000000002</v>
      </c>
      <c r="I141" s="80">
        <f t="shared" si="103"/>
        <v>1480.0000000000002</v>
      </c>
      <c r="J141" s="80">
        <f t="shared" si="103"/>
        <v>1480.0000000000002</v>
      </c>
      <c r="K141" s="80">
        <f t="shared" si="103"/>
        <v>1480.0000000000002</v>
      </c>
      <c r="L141" s="80">
        <f t="shared" si="103"/>
        <v>1480.0000000000002</v>
      </c>
      <c r="M141" s="80">
        <f t="shared" si="103"/>
        <v>1480.0000000000002</v>
      </c>
      <c r="N141" s="80">
        <f t="shared" si="103"/>
        <v>1480.0000000000002</v>
      </c>
      <c r="O141" s="80">
        <f t="shared" si="103"/>
        <v>1480.0000000000002</v>
      </c>
      <c r="P141" s="80">
        <f>SUM(Q141:AB141)</f>
        <v>43010</v>
      </c>
      <c r="Q141" s="80">
        <f t="shared" ref="Q141:AB141" si="104">IF(SUM(Q135:Q139)&gt;0,SUM(Q135:Q139),0)</f>
        <v>1521.666666666667</v>
      </c>
      <c r="R141" s="80">
        <f t="shared" si="104"/>
        <v>3771.6666666666665</v>
      </c>
      <c r="S141" s="80">
        <f t="shared" si="104"/>
        <v>3771.6666666666665</v>
      </c>
      <c r="T141" s="80">
        <f t="shared" si="104"/>
        <v>3771.6666666666665</v>
      </c>
      <c r="U141" s="80">
        <f t="shared" si="104"/>
        <v>3771.6666666666665</v>
      </c>
      <c r="V141" s="80">
        <f t="shared" si="104"/>
        <v>3771.6666666666665</v>
      </c>
      <c r="W141" s="80">
        <f t="shared" si="104"/>
        <v>3771.6666666666665</v>
      </c>
      <c r="X141" s="80">
        <f t="shared" si="104"/>
        <v>3771.6666666666665</v>
      </c>
      <c r="Y141" s="80">
        <f t="shared" si="104"/>
        <v>3771.6666666666665</v>
      </c>
      <c r="Z141" s="80">
        <f t="shared" si="104"/>
        <v>3771.6666666666665</v>
      </c>
      <c r="AA141" s="80">
        <f t="shared" si="104"/>
        <v>3771.6666666666665</v>
      </c>
      <c r="AB141" s="80">
        <f t="shared" si="104"/>
        <v>3771.6666666666665</v>
      </c>
      <c r="AC141" s="80">
        <f>SUM(AD141:AO141)</f>
        <v>75743.333333333328</v>
      </c>
      <c r="AD141" s="80">
        <f t="shared" ref="AD141:AO141" si="105">IF(SUM(AD135:AD139)&gt;0,SUM(AD135:AD139),0)</f>
        <v>3730</v>
      </c>
      <c r="AE141" s="80">
        <f t="shared" si="105"/>
        <v>6546.6666666666661</v>
      </c>
      <c r="AF141" s="80">
        <f t="shared" si="105"/>
        <v>6546.6666666666661</v>
      </c>
      <c r="AG141" s="80">
        <f t="shared" si="105"/>
        <v>6546.6666666666661</v>
      </c>
      <c r="AH141" s="80">
        <f t="shared" si="105"/>
        <v>6546.6666666666661</v>
      </c>
      <c r="AI141" s="80">
        <f t="shared" si="105"/>
        <v>6546.6666666666661</v>
      </c>
      <c r="AJ141" s="80">
        <f t="shared" si="105"/>
        <v>6546.6666666666661</v>
      </c>
      <c r="AK141" s="80">
        <f t="shared" si="105"/>
        <v>6546.6666666666661</v>
      </c>
      <c r="AL141" s="80">
        <f t="shared" si="105"/>
        <v>6546.6666666666661</v>
      </c>
      <c r="AM141" s="80">
        <f t="shared" si="105"/>
        <v>6546.6666666666661</v>
      </c>
      <c r="AN141" s="80">
        <f t="shared" si="105"/>
        <v>6546.6666666666661</v>
      </c>
      <c r="AO141" s="80">
        <f t="shared" si="105"/>
        <v>6546.6666666666661</v>
      </c>
    </row>
    <row r="142" spans="2:41" ht="13.5" customHeight="1" x14ac:dyDescent="0.3">
      <c r="B142" s="110"/>
      <c r="C142" s="75"/>
      <c r="D142" s="110"/>
      <c r="E142" s="1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80">
        <f>SUM(Q142:AB142)</f>
        <v>0</v>
      </c>
      <c r="AC142" s="80">
        <f>SUM(AD142:AO142)</f>
        <v>0</v>
      </c>
    </row>
    <row r="143" spans="2:41" ht="13.5" customHeight="1" x14ac:dyDescent="0.3">
      <c r="B143" s="111" t="s">
        <v>315</v>
      </c>
      <c r="C143" s="81">
        <f>SUM(D143:O143)</f>
        <v>1883.3333333333337</v>
      </c>
      <c r="D143" s="81">
        <f t="shared" ref="D143:O143" si="106">D36*0.2-D135</f>
        <v>1883.3333333333337</v>
      </c>
      <c r="E143" s="81">
        <f t="shared" si="106"/>
        <v>0</v>
      </c>
      <c r="F143" s="81">
        <f t="shared" si="106"/>
        <v>0</v>
      </c>
      <c r="G143" s="81">
        <f t="shared" si="106"/>
        <v>0</v>
      </c>
      <c r="H143" s="81">
        <f t="shared" si="106"/>
        <v>0</v>
      </c>
      <c r="I143" s="81">
        <f t="shared" si="106"/>
        <v>0</v>
      </c>
      <c r="J143" s="81">
        <f t="shared" si="106"/>
        <v>0</v>
      </c>
      <c r="K143" s="81">
        <f t="shared" si="106"/>
        <v>0</v>
      </c>
      <c r="L143" s="81">
        <f t="shared" si="106"/>
        <v>0</v>
      </c>
      <c r="M143" s="81">
        <f t="shared" si="106"/>
        <v>0</v>
      </c>
      <c r="N143" s="81">
        <f t="shared" si="106"/>
        <v>0</v>
      </c>
      <c r="O143" s="81">
        <f t="shared" si="106"/>
        <v>0</v>
      </c>
      <c r="P143" s="80">
        <f>SUM(Q143:AB143)</f>
        <v>2250</v>
      </c>
      <c r="Q143" s="81">
        <f t="shared" ref="Q143:AB143" si="107">Q36*0.2-Q135</f>
        <v>2250</v>
      </c>
      <c r="R143" s="81">
        <f t="shared" si="107"/>
        <v>0</v>
      </c>
      <c r="S143" s="81">
        <f t="shared" si="107"/>
        <v>0</v>
      </c>
      <c r="T143" s="81">
        <f t="shared" si="107"/>
        <v>0</v>
      </c>
      <c r="U143" s="81">
        <f t="shared" si="107"/>
        <v>0</v>
      </c>
      <c r="V143" s="81">
        <f t="shared" si="107"/>
        <v>0</v>
      </c>
      <c r="W143" s="81">
        <f t="shared" si="107"/>
        <v>0</v>
      </c>
      <c r="X143" s="81">
        <f t="shared" si="107"/>
        <v>0</v>
      </c>
      <c r="Y143" s="81">
        <f t="shared" si="107"/>
        <v>0</v>
      </c>
      <c r="Z143" s="81">
        <f t="shared" si="107"/>
        <v>0</v>
      </c>
      <c r="AA143" s="81">
        <f t="shared" si="107"/>
        <v>0</v>
      </c>
      <c r="AB143" s="81">
        <f t="shared" si="107"/>
        <v>0</v>
      </c>
      <c r="AC143" s="80">
        <f>SUM(AD143:AO143)</f>
        <v>2816.666666666667</v>
      </c>
      <c r="AD143" s="81">
        <f t="shared" ref="AD143:AO143" si="108">AD36*0.2-AD135</f>
        <v>2816.666666666667</v>
      </c>
      <c r="AE143" s="81">
        <f t="shared" si="108"/>
        <v>0</v>
      </c>
      <c r="AF143" s="81">
        <f t="shared" si="108"/>
        <v>0</v>
      </c>
      <c r="AG143" s="81">
        <f t="shared" si="108"/>
        <v>0</v>
      </c>
      <c r="AH143" s="81">
        <f t="shared" si="108"/>
        <v>0</v>
      </c>
      <c r="AI143" s="81">
        <f t="shared" si="108"/>
        <v>0</v>
      </c>
      <c r="AJ143" s="81">
        <f t="shared" si="108"/>
        <v>0</v>
      </c>
      <c r="AK143" s="81">
        <f t="shared" si="108"/>
        <v>0</v>
      </c>
      <c r="AL143" s="81">
        <f t="shared" si="108"/>
        <v>0</v>
      </c>
      <c r="AM143" s="81">
        <f t="shared" si="108"/>
        <v>0</v>
      </c>
      <c r="AN143" s="81">
        <f t="shared" si="108"/>
        <v>0</v>
      </c>
      <c r="AO143" s="81">
        <f t="shared" si="108"/>
        <v>0</v>
      </c>
    </row>
    <row r="144" spans="2:41" ht="13.5" customHeight="1" x14ac:dyDescent="0.3">
      <c r="B144" s="111" t="s">
        <v>316</v>
      </c>
      <c r="C144" s="108"/>
      <c r="D144" s="111"/>
      <c r="E144" s="11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108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8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</row>
    <row r="145" spans="2:41" ht="13.5" customHeight="1" x14ac:dyDescent="0.3">
      <c r="B145" s="110"/>
      <c r="C145" s="75"/>
      <c r="D145" s="110"/>
      <c r="E145" s="1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75"/>
      <c r="AC145" s="75"/>
    </row>
    <row r="146" spans="2:41" ht="13.5" customHeight="1" x14ac:dyDescent="0.3">
      <c r="B146" s="112" t="s">
        <v>317</v>
      </c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2:41" ht="13.5" customHeight="1" x14ac:dyDescent="0.3">
      <c r="Q147" s="86">
        <v>64019</v>
      </c>
      <c r="R147" s="86">
        <v>20642</v>
      </c>
      <c r="S147" s="86">
        <v>20642</v>
      </c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2:41" ht="13.5" customHeight="1" x14ac:dyDescent="0.3">
      <c r="B148" s="109" t="s">
        <v>318</v>
      </c>
      <c r="C148" s="84"/>
      <c r="P148" s="84">
        <f>C153</f>
        <v>0</v>
      </c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84">
        <f>P153</f>
        <v>0</v>
      </c>
    </row>
    <row r="149" spans="2:41" s="110" customFormat="1" ht="13.5" customHeight="1" x14ac:dyDescent="0.3">
      <c r="B149" s="111" t="s">
        <v>319</v>
      </c>
      <c r="C149" s="108">
        <f>C66</f>
        <v>12275.990100249843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8">
        <f>P66</f>
        <v>55527.446632475316</v>
      </c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C149" s="108">
        <f>AC66</f>
        <v>95068.979895374447</v>
      </c>
    </row>
    <row r="150" spans="2:41" ht="13.5" customHeight="1" x14ac:dyDescent="0.3">
      <c r="B150" s="109" t="s">
        <v>320</v>
      </c>
      <c r="C150" s="84">
        <f>C87-C88</f>
        <v>0</v>
      </c>
      <c r="P150" s="84">
        <f>P87-P88</f>
        <v>0</v>
      </c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0"/>
      <c r="AB150" s="110"/>
      <c r="AC150" s="84">
        <f>AC87-AC88</f>
        <v>0</v>
      </c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</row>
    <row r="151" spans="2:41" s="110" customFormat="1" ht="13.5" customHeight="1" x14ac:dyDescent="0.3">
      <c r="B151" s="111" t="s">
        <v>321</v>
      </c>
      <c r="C151" s="108">
        <f>IF(SUM(C148:C149)&lt;0,0,SUM(C148:C150))</f>
        <v>12275.990100249843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8">
        <f>IF(SUM(P148:P149)&lt;0,0,SUM(P148:P149))</f>
        <v>55527.446632475316</v>
      </c>
      <c r="AC151" s="108">
        <f>IF(SUM(AC148:AC149)&lt;0,0,SUM(AC148:AC149))</f>
        <v>95068.979895374447</v>
      </c>
    </row>
    <row r="152" spans="2:41" ht="13.5" customHeight="1" x14ac:dyDescent="0.3">
      <c r="B152" s="109" t="s">
        <v>189</v>
      </c>
      <c r="C152" s="84">
        <f>IF(C151&lt;42500,C151*15%,(42500*15%)+((C151-42500)*25%))</f>
        <v>1841.3985150374763</v>
      </c>
      <c r="P152" s="84">
        <f>IF(P151&lt;42500,P151*15%,(42500*15%)+((P151-42500)*25%))</f>
        <v>9631.8616581188289</v>
      </c>
      <c r="AC152" s="84">
        <f>IF(AC151&lt;42500,AC151*15%,(42500*15%)+((AC151-42500)*25%))</f>
        <v>19517.244973843612</v>
      </c>
    </row>
    <row r="153" spans="2:41" ht="13.5" customHeight="1" x14ac:dyDescent="0.3">
      <c r="B153" s="109" t="s">
        <v>322</v>
      </c>
      <c r="C153" s="84">
        <f>IF(C148+C149&lt;0,C148+C149,0)</f>
        <v>0</v>
      </c>
      <c r="P153" s="84">
        <f>IF(P148+P149&lt;0,P148+P149,0)</f>
        <v>0</v>
      </c>
      <c r="AC153" s="84">
        <f>IF(AC148+AC149&lt;0,AC148+AC149,0)</f>
        <v>0</v>
      </c>
    </row>
    <row r="155" spans="2:41" ht="13.5" customHeight="1" x14ac:dyDescent="0.3">
      <c r="B155" s="109" t="s">
        <v>323</v>
      </c>
      <c r="C155" s="114">
        <f>IF(C36&lt;500,0,IF(C36&lt;3000,0.5%*(C36-500)/2500,IF(C36&lt;10000,0.9%*(C36-3000)/7000+0.5%,IF(C36&lt;50000,0.1%*(C36-10000)/40000+1.4%,1.5%))))</f>
        <v>1.4999999999999999E-2</v>
      </c>
      <c r="P155" s="114">
        <f>IF(P36&lt;500,0,IF(P36&lt;3000,0.5%*(P36-500)/2500,IF(P36&lt;10000,0.9%*(P36-3000)/7000+0.5%,IF(P36&lt;50000,0.1%*(P36-10000)/40000+1.4%,1.5%))))</f>
        <v>1.4999999999999999E-2</v>
      </c>
      <c r="AC155" s="114">
        <f>IF(AC36&lt;500,0,IF(AC36&lt;3000,0.5%*(AC36-500)/2500,IF(AC36&lt;10000,0.9%*(AC36-3000)/7000+0.5%,IF(AC36&lt;50000,0.1%*(AC36-10000)/40000+1.4%,1.5%))))</f>
        <v>1.4999999999999999E-2</v>
      </c>
    </row>
    <row r="158" spans="2:41" ht="13.5" customHeight="1" x14ac:dyDescent="0.3">
      <c r="B158" s="112" t="s">
        <v>324</v>
      </c>
      <c r="I158" s="2">
        <v>14.285714285714301</v>
      </c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60" spans="2:41" ht="13.5" customHeight="1" x14ac:dyDescent="0.3">
      <c r="B160" s="39" t="s">
        <v>325</v>
      </c>
    </row>
    <row r="162" spans="2:41" s="53" customFormat="1" ht="13.5" customHeight="1" x14ac:dyDescent="0.3">
      <c r="B162" s="86" t="s">
        <v>326</v>
      </c>
      <c r="C162" s="86"/>
      <c r="D162" s="86">
        <f>+SAISIE!C50</f>
        <v>20000</v>
      </c>
      <c r="E162" s="45"/>
      <c r="F162" s="45"/>
      <c r="G162" s="2"/>
      <c r="H162" s="2"/>
      <c r="I162" s="2"/>
      <c r="J162" s="45"/>
      <c r="K162" s="45"/>
      <c r="L162" s="45"/>
      <c r="M162" s="45"/>
      <c r="N162" s="45"/>
      <c r="O162" s="45"/>
      <c r="P162" s="86">
        <f>C162</f>
        <v>0</v>
      </c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86">
        <f>P162</f>
        <v>0</v>
      </c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</row>
    <row r="163" spans="2:41" s="53" customFormat="1" ht="13.5" customHeight="1" x14ac:dyDescent="0.3">
      <c r="B163" s="86" t="s">
        <v>327</v>
      </c>
      <c r="C163" s="115"/>
      <c r="D163" s="115">
        <f>+SAISIE!C51</f>
        <v>0.04</v>
      </c>
      <c r="E163" s="45"/>
      <c r="F163" s="45"/>
      <c r="G163" s="2"/>
      <c r="H163" s="2"/>
      <c r="I163" s="2"/>
      <c r="J163" s="45"/>
      <c r="K163" s="45"/>
      <c r="L163" s="45"/>
      <c r="M163" s="45"/>
      <c r="N163" s="45"/>
      <c r="O163" s="45"/>
      <c r="P163" s="115">
        <v>4.8000000000000001E-2</v>
      </c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115">
        <f>P163</f>
        <v>4.8000000000000001E-2</v>
      </c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</row>
    <row r="164" spans="2:41" s="53" customFormat="1" ht="13.5" customHeight="1" x14ac:dyDescent="0.3">
      <c r="B164" s="86" t="s">
        <v>328</v>
      </c>
      <c r="C164" s="86"/>
      <c r="D164" s="86">
        <f>+SAISIE!C52</f>
        <v>5</v>
      </c>
      <c r="E164" s="45"/>
      <c r="F164" s="45"/>
      <c r="G164" s="2"/>
      <c r="H164" s="2"/>
      <c r="I164" s="2"/>
      <c r="J164" s="45"/>
      <c r="K164" s="45"/>
      <c r="L164" s="45"/>
      <c r="M164" s="45"/>
      <c r="N164" s="45"/>
      <c r="O164" s="45"/>
      <c r="P164" s="8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86">
        <f>P164</f>
        <v>0</v>
      </c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</row>
    <row r="165" spans="2:41" s="53" customFormat="1" ht="13.5" customHeight="1" x14ac:dyDescent="0.3">
      <c r="B165" s="2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</row>
    <row r="166" spans="2:41" s="116" customFormat="1" ht="30.75" customHeight="1" x14ac:dyDescent="0.3">
      <c r="B166" s="10"/>
      <c r="C166" s="117" t="s">
        <v>329</v>
      </c>
      <c r="D166" s="118">
        <v>1</v>
      </c>
      <c r="E166" s="118">
        <v>2</v>
      </c>
      <c r="F166" s="118">
        <f t="shared" ref="F166:O166" si="109">E166+1</f>
        <v>3</v>
      </c>
      <c r="G166" s="118">
        <f t="shared" si="109"/>
        <v>4</v>
      </c>
      <c r="H166" s="118">
        <f t="shared" si="109"/>
        <v>5</v>
      </c>
      <c r="I166" s="118">
        <f t="shared" si="109"/>
        <v>6</v>
      </c>
      <c r="J166" s="118">
        <f t="shared" si="109"/>
        <v>7</v>
      </c>
      <c r="K166" s="118">
        <f t="shared" si="109"/>
        <v>8</v>
      </c>
      <c r="L166" s="118">
        <f t="shared" si="109"/>
        <v>9</v>
      </c>
      <c r="M166" s="118">
        <f t="shared" si="109"/>
        <v>10</v>
      </c>
      <c r="N166" s="118">
        <f t="shared" si="109"/>
        <v>11</v>
      </c>
      <c r="O166" s="118">
        <f t="shared" si="109"/>
        <v>12</v>
      </c>
      <c r="P166" s="117" t="s">
        <v>330</v>
      </c>
      <c r="Q166" s="118">
        <f>O166+1</f>
        <v>13</v>
      </c>
      <c r="R166" s="118">
        <f t="shared" ref="R166:AB166" si="110">Q166+1</f>
        <v>14</v>
      </c>
      <c r="S166" s="118">
        <f t="shared" si="110"/>
        <v>15</v>
      </c>
      <c r="T166" s="118">
        <f t="shared" si="110"/>
        <v>16</v>
      </c>
      <c r="U166" s="118">
        <f t="shared" si="110"/>
        <v>17</v>
      </c>
      <c r="V166" s="118">
        <f t="shared" si="110"/>
        <v>18</v>
      </c>
      <c r="W166" s="118">
        <f t="shared" si="110"/>
        <v>19</v>
      </c>
      <c r="X166" s="118">
        <f t="shared" si="110"/>
        <v>20</v>
      </c>
      <c r="Y166" s="118">
        <f t="shared" si="110"/>
        <v>21</v>
      </c>
      <c r="Z166" s="118">
        <f t="shared" si="110"/>
        <v>22</v>
      </c>
      <c r="AA166" s="118">
        <f t="shared" si="110"/>
        <v>23</v>
      </c>
      <c r="AB166" s="118">
        <f t="shared" si="110"/>
        <v>24</v>
      </c>
      <c r="AC166" s="117" t="s">
        <v>331</v>
      </c>
      <c r="AD166" s="118">
        <f>AB166+1</f>
        <v>25</v>
      </c>
      <c r="AE166" s="118">
        <f t="shared" ref="AE166:AO166" si="111">AD166+1</f>
        <v>26</v>
      </c>
      <c r="AF166" s="118">
        <f t="shared" si="111"/>
        <v>27</v>
      </c>
      <c r="AG166" s="118">
        <f t="shared" si="111"/>
        <v>28</v>
      </c>
      <c r="AH166" s="118">
        <f t="shared" si="111"/>
        <v>29</v>
      </c>
      <c r="AI166" s="118">
        <f t="shared" si="111"/>
        <v>30</v>
      </c>
      <c r="AJ166" s="118">
        <f t="shared" si="111"/>
        <v>31</v>
      </c>
      <c r="AK166" s="118">
        <f t="shared" si="111"/>
        <v>32</v>
      </c>
      <c r="AL166" s="118">
        <f t="shared" si="111"/>
        <v>33</v>
      </c>
      <c r="AM166" s="118">
        <f t="shared" si="111"/>
        <v>34</v>
      </c>
      <c r="AN166" s="118">
        <f t="shared" si="111"/>
        <v>35</v>
      </c>
      <c r="AO166" s="118">
        <f t="shared" si="111"/>
        <v>36</v>
      </c>
    </row>
    <row r="167" spans="2:41" s="53" customFormat="1" ht="13.5" customHeight="1" x14ac:dyDescent="0.3">
      <c r="B167" s="2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</row>
    <row r="168" spans="2:41" s="2" customFormat="1" ht="13.5" customHeight="1" x14ac:dyDescent="0.3">
      <c r="B168" s="83" t="s">
        <v>332</v>
      </c>
      <c r="C168" s="83"/>
      <c r="D168" s="83">
        <f>D162</f>
        <v>20000</v>
      </c>
      <c r="E168" s="83">
        <f t="shared" ref="E168:O168" si="112">D172</f>
        <v>19733.333333333332</v>
      </c>
      <c r="F168" s="83">
        <f t="shared" si="112"/>
        <v>19465.777777777777</v>
      </c>
      <c r="G168" s="83">
        <f t="shared" si="112"/>
        <v>19197.330370370371</v>
      </c>
      <c r="H168" s="83">
        <f t="shared" si="112"/>
        <v>18927.988138271605</v>
      </c>
      <c r="I168" s="83">
        <f t="shared" si="112"/>
        <v>18657.748098732511</v>
      </c>
      <c r="J168" s="83">
        <f t="shared" si="112"/>
        <v>18386.60725906162</v>
      </c>
      <c r="K168" s="83">
        <f t="shared" si="112"/>
        <v>18114.562616591826</v>
      </c>
      <c r="L168" s="83">
        <f t="shared" si="112"/>
        <v>17841.611158647131</v>
      </c>
      <c r="M168" s="83">
        <f t="shared" si="112"/>
        <v>17567.749862509289</v>
      </c>
      <c r="N168" s="83">
        <f t="shared" si="112"/>
        <v>17292.975695384321</v>
      </c>
      <c r="O168" s="83">
        <f t="shared" si="112"/>
        <v>17017.285614368935</v>
      </c>
      <c r="P168" s="83"/>
      <c r="Q168" s="83">
        <f>O172</f>
        <v>16740.676566416831</v>
      </c>
      <c r="R168" s="83">
        <f t="shared" ref="R168:AB168" si="113">Q172</f>
        <v>16463.145488304886</v>
      </c>
      <c r="S168" s="83">
        <f t="shared" si="113"/>
        <v>16184.689306599235</v>
      </c>
      <c r="T168" s="83">
        <f t="shared" si="113"/>
        <v>15905.304937621233</v>
      </c>
      <c r="U168" s="83">
        <f t="shared" si="113"/>
        <v>15624.989287413304</v>
      </c>
      <c r="V168" s="83">
        <f t="shared" si="113"/>
        <v>15343.739251704681</v>
      </c>
      <c r="W168" s="83">
        <f t="shared" si="113"/>
        <v>15061.551715877031</v>
      </c>
      <c r="X168" s="83">
        <f t="shared" si="113"/>
        <v>14778.423554929954</v>
      </c>
      <c r="Y168" s="83">
        <f t="shared" si="113"/>
        <v>14494.351633446387</v>
      </c>
      <c r="Z168" s="83">
        <f t="shared" si="113"/>
        <v>14209.332805557875</v>
      </c>
      <c r="AA168" s="83">
        <f t="shared" si="113"/>
        <v>13923.363914909734</v>
      </c>
      <c r="AB168" s="83">
        <f t="shared" si="113"/>
        <v>13636.4417946261</v>
      </c>
      <c r="AC168" s="83"/>
      <c r="AD168" s="83">
        <f>AB172</f>
        <v>13348.563267274854</v>
      </c>
      <c r="AE168" s="83">
        <f t="shared" ref="AE168:AO168" si="114">AD172</f>
        <v>13059.725144832437</v>
      </c>
      <c r="AF168" s="83">
        <f t="shared" si="114"/>
        <v>12769.924228648544</v>
      </c>
      <c r="AG168" s="83">
        <f t="shared" si="114"/>
        <v>12479.157309410706</v>
      </c>
      <c r="AH168" s="83">
        <f t="shared" si="114"/>
        <v>12187.421167108741</v>
      </c>
      <c r="AI168" s="83">
        <f t="shared" si="114"/>
        <v>11894.712570999103</v>
      </c>
      <c r="AJ168" s="83">
        <f t="shared" si="114"/>
        <v>11601.0282795691</v>
      </c>
      <c r="AK168" s="83">
        <f t="shared" si="114"/>
        <v>11306.365040500998</v>
      </c>
      <c r="AL168" s="83">
        <f t="shared" si="114"/>
        <v>11010.719590636001</v>
      </c>
      <c r="AM168" s="83">
        <f t="shared" si="114"/>
        <v>10714.088655938122</v>
      </c>
      <c r="AN168" s="83">
        <f t="shared" si="114"/>
        <v>10416.468951457915</v>
      </c>
      <c r="AO168" s="83">
        <f t="shared" si="114"/>
        <v>10117.857181296107</v>
      </c>
    </row>
    <row r="169" spans="2:41" s="119" customFormat="1" ht="13.5" customHeight="1" x14ac:dyDescent="0.3">
      <c r="B169" s="120" t="s">
        <v>333</v>
      </c>
      <c r="C169" s="121"/>
      <c r="D169" s="120">
        <f t="shared" ref="D169:O169" si="115">+$D$162/$D$164/12</f>
        <v>333.33333333333331</v>
      </c>
      <c r="E169" s="120">
        <f t="shared" si="115"/>
        <v>333.33333333333331</v>
      </c>
      <c r="F169" s="120">
        <f t="shared" si="115"/>
        <v>333.33333333333331</v>
      </c>
      <c r="G169" s="120">
        <f t="shared" si="115"/>
        <v>333.33333333333331</v>
      </c>
      <c r="H169" s="120">
        <f t="shared" si="115"/>
        <v>333.33333333333331</v>
      </c>
      <c r="I169" s="120">
        <f t="shared" si="115"/>
        <v>333.33333333333331</v>
      </c>
      <c r="J169" s="120">
        <f t="shared" si="115"/>
        <v>333.33333333333331</v>
      </c>
      <c r="K169" s="120">
        <f t="shared" si="115"/>
        <v>333.33333333333331</v>
      </c>
      <c r="L169" s="120">
        <f t="shared" si="115"/>
        <v>333.33333333333331</v>
      </c>
      <c r="M169" s="120">
        <f t="shared" si="115"/>
        <v>333.33333333333331</v>
      </c>
      <c r="N169" s="120">
        <f t="shared" si="115"/>
        <v>333.33333333333331</v>
      </c>
      <c r="O169" s="120">
        <f t="shared" si="115"/>
        <v>333.33333333333331</v>
      </c>
      <c r="P169" s="121"/>
      <c r="Q169" s="120">
        <f t="shared" ref="Q169:AB169" si="116">+$D$162/$D$164/12</f>
        <v>333.33333333333331</v>
      </c>
      <c r="R169" s="120">
        <f t="shared" si="116"/>
        <v>333.33333333333331</v>
      </c>
      <c r="S169" s="120">
        <f t="shared" si="116"/>
        <v>333.33333333333331</v>
      </c>
      <c r="T169" s="120">
        <f t="shared" si="116"/>
        <v>333.33333333333331</v>
      </c>
      <c r="U169" s="120">
        <f t="shared" si="116"/>
        <v>333.33333333333331</v>
      </c>
      <c r="V169" s="120">
        <f t="shared" si="116"/>
        <v>333.33333333333331</v>
      </c>
      <c r="W169" s="120">
        <f t="shared" si="116"/>
        <v>333.33333333333331</v>
      </c>
      <c r="X169" s="120">
        <f t="shared" si="116"/>
        <v>333.33333333333331</v>
      </c>
      <c r="Y169" s="120">
        <f t="shared" si="116"/>
        <v>333.33333333333331</v>
      </c>
      <c r="Z169" s="120">
        <f t="shared" si="116"/>
        <v>333.33333333333331</v>
      </c>
      <c r="AA169" s="120">
        <f t="shared" si="116"/>
        <v>333.33333333333331</v>
      </c>
      <c r="AB169" s="120">
        <f t="shared" si="116"/>
        <v>333.33333333333331</v>
      </c>
      <c r="AC169" s="121"/>
      <c r="AD169" s="120">
        <f t="shared" ref="AD169:AO169" si="117">+$D$162/$D$164/12</f>
        <v>333.33333333333331</v>
      </c>
      <c r="AE169" s="120">
        <f t="shared" si="117"/>
        <v>333.33333333333331</v>
      </c>
      <c r="AF169" s="120">
        <f t="shared" si="117"/>
        <v>333.33333333333331</v>
      </c>
      <c r="AG169" s="120">
        <f t="shared" si="117"/>
        <v>333.33333333333331</v>
      </c>
      <c r="AH169" s="120">
        <f t="shared" si="117"/>
        <v>333.33333333333331</v>
      </c>
      <c r="AI169" s="120">
        <f t="shared" si="117"/>
        <v>333.33333333333331</v>
      </c>
      <c r="AJ169" s="120">
        <f t="shared" si="117"/>
        <v>333.33333333333331</v>
      </c>
      <c r="AK169" s="120">
        <f t="shared" si="117"/>
        <v>333.33333333333331</v>
      </c>
      <c r="AL169" s="120">
        <f t="shared" si="117"/>
        <v>333.33333333333331</v>
      </c>
      <c r="AM169" s="120">
        <f t="shared" si="117"/>
        <v>333.33333333333331</v>
      </c>
      <c r="AN169" s="120">
        <f t="shared" si="117"/>
        <v>333.33333333333331</v>
      </c>
      <c r="AO169" s="120">
        <f t="shared" si="117"/>
        <v>333.33333333333331</v>
      </c>
    </row>
    <row r="170" spans="2:41" s="119" customFormat="1" ht="13.5" customHeight="1" x14ac:dyDescent="0.3">
      <c r="B170" s="120" t="s">
        <v>195</v>
      </c>
      <c r="C170" s="121"/>
      <c r="D170" s="120">
        <f t="shared" ref="D170:O170" si="118">D169-D171</f>
        <v>266.66666666666663</v>
      </c>
      <c r="E170" s="120">
        <f t="shared" si="118"/>
        <v>267.55555555555554</v>
      </c>
      <c r="F170" s="120">
        <f t="shared" si="118"/>
        <v>268.44740740740735</v>
      </c>
      <c r="G170" s="120">
        <f t="shared" si="118"/>
        <v>269.34223209876541</v>
      </c>
      <c r="H170" s="120">
        <f t="shared" si="118"/>
        <v>270.2400395390946</v>
      </c>
      <c r="I170" s="120">
        <f t="shared" si="118"/>
        <v>271.14083967089164</v>
      </c>
      <c r="J170" s="120">
        <f t="shared" si="118"/>
        <v>272.04464246979455</v>
      </c>
      <c r="K170" s="120">
        <f t="shared" si="118"/>
        <v>272.95145794469391</v>
      </c>
      <c r="L170" s="120">
        <f t="shared" si="118"/>
        <v>273.86129613784288</v>
      </c>
      <c r="M170" s="120">
        <f t="shared" si="118"/>
        <v>274.77416712496904</v>
      </c>
      <c r="N170" s="120">
        <f t="shared" si="118"/>
        <v>275.69008101538554</v>
      </c>
      <c r="O170" s="120">
        <f t="shared" si="118"/>
        <v>276.60904795210354</v>
      </c>
      <c r="P170" s="121"/>
      <c r="Q170" s="120">
        <f t="shared" ref="Q170:AB170" si="119">Q169-Q171</f>
        <v>277.53107811194388</v>
      </c>
      <c r="R170" s="120">
        <f t="shared" si="119"/>
        <v>278.45618170565035</v>
      </c>
      <c r="S170" s="120">
        <f t="shared" si="119"/>
        <v>279.3843689780025</v>
      </c>
      <c r="T170" s="120">
        <f t="shared" si="119"/>
        <v>280.3156502079292</v>
      </c>
      <c r="U170" s="120">
        <f t="shared" si="119"/>
        <v>281.25003570862231</v>
      </c>
      <c r="V170" s="120">
        <f t="shared" si="119"/>
        <v>282.18753582765106</v>
      </c>
      <c r="W170" s="120">
        <f t="shared" si="119"/>
        <v>283.12816094707654</v>
      </c>
      <c r="X170" s="120">
        <f t="shared" si="119"/>
        <v>284.07192148356683</v>
      </c>
      <c r="Y170" s="120">
        <f t="shared" si="119"/>
        <v>285.01882788851202</v>
      </c>
      <c r="Z170" s="120">
        <f t="shared" si="119"/>
        <v>285.96889064814042</v>
      </c>
      <c r="AA170" s="120">
        <f t="shared" si="119"/>
        <v>286.92212028363417</v>
      </c>
      <c r="AB170" s="120">
        <f t="shared" si="119"/>
        <v>287.8785273512463</v>
      </c>
      <c r="AC170" s="121"/>
      <c r="AD170" s="120">
        <f t="shared" ref="AD170:AO170" si="120">AD169-AD171</f>
        <v>288.8381224424171</v>
      </c>
      <c r="AE170" s="120">
        <f t="shared" si="120"/>
        <v>289.80091618389184</v>
      </c>
      <c r="AF170" s="120">
        <f t="shared" si="120"/>
        <v>290.76691923783818</v>
      </c>
      <c r="AG170" s="120">
        <f t="shared" si="120"/>
        <v>291.73614230196426</v>
      </c>
      <c r="AH170" s="120">
        <f t="shared" si="120"/>
        <v>292.70859610963748</v>
      </c>
      <c r="AI170" s="120">
        <f t="shared" si="120"/>
        <v>293.68429143000299</v>
      </c>
      <c r="AJ170" s="120">
        <f t="shared" si="120"/>
        <v>294.663239068103</v>
      </c>
      <c r="AK170" s="120">
        <f t="shared" si="120"/>
        <v>295.64544986499664</v>
      </c>
      <c r="AL170" s="120">
        <f t="shared" si="120"/>
        <v>296.63093469787998</v>
      </c>
      <c r="AM170" s="120">
        <f t="shared" si="120"/>
        <v>297.61970448020622</v>
      </c>
      <c r="AN170" s="120">
        <f t="shared" si="120"/>
        <v>298.61177016180693</v>
      </c>
      <c r="AO170" s="120">
        <f t="shared" si="120"/>
        <v>299.60714272901293</v>
      </c>
    </row>
    <row r="171" spans="2:41" s="119" customFormat="1" ht="13.5" customHeight="1" x14ac:dyDescent="0.3">
      <c r="B171" s="120" t="s">
        <v>334</v>
      </c>
      <c r="C171" s="121"/>
      <c r="D171" s="120">
        <f t="shared" ref="D171:O171" si="121">$D$163/12*D168</f>
        <v>66.666666666666671</v>
      </c>
      <c r="E171" s="120">
        <f t="shared" si="121"/>
        <v>65.777777777777771</v>
      </c>
      <c r="F171" s="120">
        <f t="shared" si="121"/>
        <v>64.885925925925932</v>
      </c>
      <c r="G171" s="120">
        <f t="shared" si="121"/>
        <v>63.991101234567907</v>
      </c>
      <c r="H171" s="120">
        <f t="shared" si="121"/>
        <v>63.09329379423869</v>
      </c>
      <c r="I171" s="120">
        <f t="shared" si="121"/>
        <v>62.192493662441706</v>
      </c>
      <c r="J171" s="120">
        <f t="shared" si="121"/>
        <v>61.28869086353874</v>
      </c>
      <c r="K171" s="120">
        <f t="shared" si="121"/>
        <v>60.381875388639422</v>
      </c>
      <c r="L171" s="120">
        <f t="shared" si="121"/>
        <v>59.472037195490437</v>
      </c>
      <c r="M171" s="120">
        <f t="shared" si="121"/>
        <v>58.559166208364296</v>
      </c>
      <c r="N171" s="120">
        <f t="shared" si="121"/>
        <v>57.643252317947741</v>
      </c>
      <c r="O171" s="120">
        <f t="shared" si="121"/>
        <v>56.724285381229784</v>
      </c>
      <c r="P171" s="121"/>
      <c r="Q171" s="120">
        <f t="shared" ref="Q171:AB171" si="122">$D$163/12*Q168</f>
        <v>55.802255221389437</v>
      </c>
      <c r="R171" s="120">
        <f t="shared" si="122"/>
        <v>54.877151627682956</v>
      </c>
      <c r="S171" s="120">
        <f t="shared" si="122"/>
        <v>53.948964355330787</v>
      </c>
      <c r="T171" s="120">
        <f t="shared" si="122"/>
        <v>53.017683125404112</v>
      </c>
      <c r="U171" s="120">
        <f t="shared" si="122"/>
        <v>52.083297624711015</v>
      </c>
      <c r="V171" s="120">
        <f t="shared" si="122"/>
        <v>51.145797505682275</v>
      </c>
      <c r="W171" s="120">
        <f t="shared" si="122"/>
        <v>50.20517238625677</v>
      </c>
      <c r="X171" s="120">
        <f t="shared" si="122"/>
        <v>49.261411849766517</v>
      </c>
      <c r="Y171" s="120">
        <f t="shared" si="122"/>
        <v>48.314505444821293</v>
      </c>
      <c r="Z171" s="120">
        <f t="shared" si="122"/>
        <v>47.36444268519292</v>
      </c>
      <c r="AA171" s="120">
        <f t="shared" si="122"/>
        <v>46.411213049699114</v>
      </c>
      <c r="AB171" s="120">
        <f t="shared" si="122"/>
        <v>45.454805982087002</v>
      </c>
      <c r="AC171" s="121"/>
      <c r="AD171" s="120">
        <f t="shared" ref="AD171:AO171" si="123">$D$163/12*AD168</f>
        <v>44.495210890916184</v>
      </c>
      <c r="AE171" s="120">
        <f t="shared" si="123"/>
        <v>43.532417149441457</v>
      </c>
      <c r="AF171" s="120">
        <f t="shared" si="123"/>
        <v>42.566414095495148</v>
      </c>
      <c r="AG171" s="120">
        <f t="shared" si="123"/>
        <v>41.597191031369022</v>
      </c>
      <c r="AH171" s="120">
        <f t="shared" si="123"/>
        <v>40.62473722369581</v>
      </c>
      <c r="AI171" s="120">
        <f t="shared" si="123"/>
        <v>39.64904190333035</v>
      </c>
      <c r="AJ171" s="120">
        <f t="shared" si="123"/>
        <v>38.670094265230333</v>
      </c>
      <c r="AK171" s="120">
        <f t="shared" si="123"/>
        <v>37.687883468336658</v>
      </c>
      <c r="AL171" s="120">
        <f t="shared" si="123"/>
        <v>36.702398635453342</v>
      </c>
      <c r="AM171" s="120">
        <f t="shared" si="123"/>
        <v>35.713628853127076</v>
      </c>
      <c r="AN171" s="120">
        <f t="shared" si="123"/>
        <v>34.721563171526384</v>
      </c>
      <c r="AO171" s="120">
        <f t="shared" si="123"/>
        <v>33.726190604320358</v>
      </c>
    </row>
    <row r="172" spans="2:41" s="122" customFormat="1" ht="13.5" customHeight="1" x14ac:dyDescent="0.3">
      <c r="B172" s="123" t="s">
        <v>335</v>
      </c>
      <c r="C172" s="123"/>
      <c r="D172" s="123">
        <f t="shared" ref="D172:O172" si="124">D168-D170</f>
        <v>19733.333333333332</v>
      </c>
      <c r="E172" s="123">
        <f t="shared" si="124"/>
        <v>19465.777777777777</v>
      </c>
      <c r="F172" s="123">
        <f t="shared" si="124"/>
        <v>19197.330370370371</v>
      </c>
      <c r="G172" s="123">
        <f t="shared" si="124"/>
        <v>18927.988138271605</v>
      </c>
      <c r="H172" s="123">
        <f t="shared" si="124"/>
        <v>18657.748098732511</v>
      </c>
      <c r="I172" s="123">
        <f t="shared" si="124"/>
        <v>18386.60725906162</v>
      </c>
      <c r="J172" s="123">
        <f t="shared" si="124"/>
        <v>18114.562616591826</v>
      </c>
      <c r="K172" s="123">
        <f t="shared" si="124"/>
        <v>17841.611158647131</v>
      </c>
      <c r="L172" s="123">
        <f t="shared" si="124"/>
        <v>17567.749862509289</v>
      </c>
      <c r="M172" s="123">
        <f t="shared" si="124"/>
        <v>17292.975695384321</v>
      </c>
      <c r="N172" s="123">
        <f t="shared" si="124"/>
        <v>17017.285614368935</v>
      </c>
      <c r="O172" s="123">
        <f t="shared" si="124"/>
        <v>16740.676566416831</v>
      </c>
      <c r="P172" s="123"/>
      <c r="Q172" s="123">
        <f t="shared" ref="Q172:AB172" si="125">Q168-Q170</f>
        <v>16463.145488304886</v>
      </c>
      <c r="R172" s="123">
        <f t="shared" si="125"/>
        <v>16184.689306599235</v>
      </c>
      <c r="S172" s="123">
        <f t="shared" si="125"/>
        <v>15905.304937621233</v>
      </c>
      <c r="T172" s="123">
        <f t="shared" si="125"/>
        <v>15624.989287413304</v>
      </c>
      <c r="U172" s="123">
        <f t="shared" si="125"/>
        <v>15343.739251704681</v>
      </c>
      <c r="V172" s="123">
        <f t="shared" si="125"/>
        <v>15061.551715877031</v>
      </c>
      <c r="W172" s="123">
        <f t="shared" si="125"/>
        <v>14778.423554929954</v>
      </c>
      <c r="X172" s="123">
        <f t="shared" si="125"/>
        <v>14494.351633446387</v>
      </c>
      <c r="Y172" s="123">
        <f t="shared" si="125"/>
        <v>14209.332805557875</v>
      </c>
      <c r="Z172" s="123">
        <f t="shared" si="125"/>
        <v>13923.363914909734</v>
      </c>
      <c r="AA172" s="123">
        <f t="shared" si="125"/>
        <v>13636.4417946261</v>
      </c>
      <c r="AB172" s="123">
        <f t="shared" si="125"/>
        <v>13348.563267274854</v>
      </c>
      <c r="AC172" s="123"/>
      <c r="AD172" s="123">
        <f t="shared" ref="AD172:AO172" si="126">AD168-AD170</f>
        <v>13059.725144832437</v>
      </c>
      <c r="AE172" s="123">
        <f t="shared" si="126"/>
        <v>12769.924228648544</v>
      </c>
      <c r="AF172" s="123">
        <f t="shared" si="126"/>
        <v>12479.157309410706</v>
      </c>
      <c r="AG172" s="123">
        <f t="shared" si="126"/>
        <v>12187.421167108741</v>
      </c>
      <c r="AH172" s="123">
        <f t="shared" si="126"/>
        <v>11894.712570999103</v>
      </c>
      <c r="AI172" s="123">
        <f t="shared" si="126"/>
        <v>11601.0282795691</v>
      </c>
      <c r="AJ172" s="123">
        <f t="shared" si="126"/>
        <v>11306.365040500998</v>
      </c>
      <c r="AK172" s="123">
        <f t="shared" si="126"/>
        <v>11010.719590636001</v>
      </c>
      <c r="AL172" s="123">
        <f t="shared" si="126"/>
        <v>10714.088655938122</v>
      </c>
      <c r="AM172" s="123">
        <f t="shared" si="126"/>
        <v>10416.468951457915</v>
      </c>
      <c r="AN172" s="123">
        <f t="shared" si="126"/>
        <v>10117.857181296107</v>
      </c>
      <c r="AO172" s="123">
        <f t="shared" si="126"/>
        <v>9818.2500385670937</v>
      </c>
    </row>
    <row r="173" spans="2:41" s="122" customFormat="1" ht="13.5" customHeight="1" x14ac:dyDescent="0.3">
      <c r="C173" s="124"/>
      <c r="P173" s="124"/>
      <c r="AC173" s="124"/>
    </row>
    <row r="174" spans="2:41" s="122" customFormat="1" ht="13.5" customHeight="1" x14ac:dyDescent="0.3">
      <c r="B174" s="122" t="s">
        <v>336</v>
      </c>
      <c r="C174" s="124"/>
      <c r="P174" s="124"/>
      <c r="AC174" s="124"/>
    </row>
    <row r="175" spans="2:41" s="122" customFormat="1" ht="13.5" customHeight="1" x14ac:dyDescent="0.3">
      <c r="C175" s="124"/>
      <c r="P175" s="124"/>
      <c r="AC175" s="124"/>
    </row>
    <row r="176" spans="2:41" s="119" customFormat="1" ht="13.5" customHeight="1" x14ac:dyDescent="0.3">
      <c r="B176" s="120" t="s">
        <v>326</v>
      </c>
      <c r="C176" s="120">
        <v>0</v>
      </c>
      <c r="D176" s="120">
        <v>0</v>
      </c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0">
        <f>C176</f>
        <v>0</v>
      </c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0">
        <f>P176</f>
        <v>0</v>
      </c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</row>
    <row r="177" spans="2:41" s="119" customFormat="1" ht="13.5" customHeight="1" x14ac:dyDescent="0.3">
      <c r="B177" s="120" t="s">
        <v>327</v>
      </c>
      <c r="C177" s="120"/>
      <c r="D177" s="120">
        <v>4.5999999999999999E-2</v>
      </c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0">
        <f>C177</f>
        <v>0</v>
      </c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0">
        <f>P177</f>
        <v>0</v>
      </c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</row>
    <row r="178" spans="2:41" s="119" customFormat="1" ht="13.5" customHeight="1" x14ac:dyDescent="0.3">
      <c r="B178" s="120" t="s">
        <v>328</v>
      </c>
      <c r="C178" s="120"/>
      <c r="D178" s="120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0">
        <f>C178</f>
        <v>0</v>
      </c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0">
        <f>P178</f>
        <v>0</v>
      </c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</row>
    <row r="179" spans="2:41" s="119" customFormat="1" ht="13.5" customHeight="1" x14ac:dyDescent="0.3"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</row>
    <row r="180" spans="2:41" s="125" customFormat="1" ht="30.75" customHeight="1" x14ac:dyDescent="0.3">
      <c r="B180" s="126"/>
      <c r="C180" s="127" t="s">
        <v>329</v>
      </c>
      <c r="D180" s="128">
        <v>1</v>
      </c>
      <c r="E180" s="128">
        <v>2</v>
      </c>
      <c r="F180" s="128">
        <f t="shared" ref="F180:O180" si="127">E180+1</f>
        <v>3</v>
      </c>
      <c r="G180" s="128">
        <f t="shared" si="127"/>
        <v>4</v>
      </c>
      <c r="H180" s="128">
        <f t="shared" si="127"/>
        <v>5</v>
      </c>
      <c r="I180" s="128">
        <f t="shared" si="127"/>
        <v>6</v>
      </c>
      <c r="J180" s="128">
        <f t="shared" si="127"/>
        <v>7</v>
      </c>
      <c r="K180" s="128">
        <f t="shared" si="127"/>
        <v>8</v>
      </c>
      <c r="L180" s="128">
        <f t="shared" si="127"/>
        <v>9</v>
      </c>
      <c r="M180" s="128">
        <f t="shared" si="127"/>
        <v>10</v>
      </c>
      <c r="N180" s="128">
        <f t="shared" si="127"/>
        <v>11</v>
      </c>
      <c r="O180" s="128">
        <f t="shared" si="127"/>
        <v>12</v>
      </c>
      <c r="P180" s="127" t="s">
        <v>330</v>
      </c>
      <c r="Q180" s="128">
        <f>O180+1</f>
        <v>13</v>
      </c>
      <c r="R180" s="128">
        <f t="shared" ref="R180:AB180" si="128">Q180+1</f>
        <v>14</v>
      </c>
      <c r="S180" s="128">
        <f t="shared" si="128"/>
        <v>15</v>
      </c>
      <c r="T180" s="128">
        <f t="shared" si="128"/>
        <v>16</v>
      </c>
      <c r="U180" s="128">
        <f t="shared" si="128"/>
        <v>17</v>
      </c>
      <c r="V180" s="128">
        <f t="shared" si="128"/>
        <v>18</v>
      </c>
      <c r="W180" s="128">
        <f t="shared" si="128"/>
        <v>19</v>
      </c>
      <c r="X180" s="128">
        <f t="shared" si="128"/>
        <v>20</v>
      </c>
      <c r="Y180" s="128">
        <f t="shared" si="128"/>
        <v>21</v>
      </c>
      <c r="Z180" s="128">
        <f t="shared" si="128"/>
        <v>22</v>
      </c>
      <c r="AA180" s="128">
        <f t="shared" si="128"/>
        <v>23</v>
      </c>
      <c r="AB180" s="128">
        <f t="shared" si="128"/>
        <v>24</v>
      </c>
      <c r="AC180" s="127" t="s">
        <v>331</v>
      </c>
      <c r="AD180" s="128">
        <f>AB180+1</f>
        <v>25</v>
      </c>
      <c r="AE180" s="128">
        <f t="shared" ref="AE180:AO180" si="129">AD180+1</f>
        <v>26</v>
      </c>
      <c r="AF180" s="128">
        <f t="shared" si="129"/>
        <v>27</v>
      </c>
      <c r="AG180" s="128">
        <f t="shared" si="129"/>
        <v>28</v>
      </c>
      <c r="AH180" s="128">
        <f t="shared" si="129"/>
        <v>29</v>
      </c>
      <c r="AI180" s="128">
        <f t="shared" si="129"/>
        <v>30</v>
      </c>
      <c r="AJ180" s="128">
        <f t="shared" si="129"/>
        <v>31</v>
      </c>
      <c r="AK180" s="128">
        <f t="shared" si="129"/>
        <v>32</v>
      </c>
      <c r="AL180" s="128">
        <f t="shared" si="129"/>
        <v>33</v>
      </c>
      <c r="AM180" s="128">
        <f t="shared" si="129"/>
        <v>34</v>
      </c>
      <c r="AN180" s="128">
        <f t="shared" si="129"/>
        <v>35</v>
      </c>
      <c r="AO180" s="128">
        <f t="shared" si="129"/>
        <v>36</v>
      </c>
    </row>
    <row r="181" spans="2:41" s="119" customFormat="1" ht="13.5" customHeight="1" x14ac:dyDescent="0.3"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</row>
    <row r="182" spans="2:41" s="122" customFormat="1" ht="13.5" customHeight="1" x14ac:dyDescent="0.3">
      <c r="B182" s="123" t="s">
        <v>332</v>
      </c>
      <c r="C182" s="123"/>
      <c r="D182" s="123">
        <f>D176</f>
        <v>0</v>
      </c>
      <c r="E182" s="123">
        <f t="shared" ref="E182:O182" si="130">D186</f>
        <v>0</v>
      </c>
      <c r="F182" s="123">
        <f t="shared" si="130"/>
        <v>0</v>
      </c>
      <c r="G182" s="123">
        <f t="shared" si="130"/>
        <v>0</v>
      </c>
      <c r="H182" s="123">
        <f t="shared" si="130"/>
        <v>0</v>
      </c>
      <c r="I182" s="123">
        <f t="shared" si="130"/>
        <v>0</v>
      </c>
      <c r="J182" s="123">
        <f t="shared" si="130"/>
        <v>0</v>
      </c>
      <c r="K182" s="123">
        <f t="shared" si="130"/>
        <v>0</v>
      </c>
      <c r="L182" s="123">
        <f t="shared" si="130"/>
        <v>0</v>
      </c>
      <c r="M182" s="123">
        <f t="shared" si="130"/>
        <v>0</v>
      </c>
      <c r="N182" s="123">
        <f t="shared" si="130"/>
        <v>0</v>
      </c>
      <c r="O182" s="123">
        <f t="shared" si="130"/>
        <v>0</v>
      </c>
      <c r="P182" s="123"/>
      <c r="Q182" s="123">
        <f>O186</f>
        <v>0</v>
      </c>
      <c r="R182" s="123">
        <f t="shared" ref="R182:AB182" si="131">Q186</f>
        <v>0</v>
      </c>
      <c r="S182" s="123">
        <f t="shared" si="131"/>
        <v>0</v>
      </c>
      <c r="T182" s="123">
        <f t="shared" si="131"/>
        <v>0</v>
      </c>
      <c r="U182" s="123">
        <f t="shared" si="131"/>
        <v>0</v>
      </c>
      <c r="V182" s="123">
        <f t="shared" si="131"/>
        <v>0</v>
      </c>
      <c r="W182" s="123">
        <f t="shared" si="131"/>
        <v>0</v>
      </c>
      <c r="X182" s="123">
        <f t="shared" si="131"/>
        <v>0</v>
      </c>
      <c r="Y182" s="123">
        <f t="shared" si="131"/>
        <v>0</v>
      </c>
      <c r="Z182" s="123">
        <f t="shared" si="131"/>
        <v>0</v>
      </c>
      <c r="AA182" s="123">
        <f t="shared" si="131"/>
        <v>0</v>
      </c>
      <c r="AB182" s="123">
        <f t="shared" si="131"/>
        <v>0</v>
      </c>
      <c r="AC182" s="123"/>
      <c r="AD182" s="123">
        <f>AB186</f>
        <v>0</v>
      </c>
      <c r="AE182" s="123">
        <f t="shared" ref="AE182:AO182" si="132">AD186</f>
        <v>0</v>
      </c>
      <c r="AF182" s="123">
        <f t="shared" si="132"/>
        <v>0</v>
      </c>
      <c r="AG182" s="123">
        <f t="shared" si="132"/>
        <v>0</v>
      </c>
      <c r="AH182" s="123">
        <f t="shared" si="132"/>
        <v>0</v>
      </c>
      <c r="AI182" s="123">
        <f t="shared" si="132"/>
        <v>0</v>
      </c>
      <c r="AJ182" s="123">
        <f t="shared" si="132"/>
        <v>0</v>
      </c>
      <c r="AK182" s="123">
        <f t="shared" si="132"/>
        <v>0</v>
      </c>
      <c r="AL182" s="123">
        <f t="shared" si="132"/>
        <v>0</v>
      </c>
      <c r="AM182" s="123">
        <f t="shared" si="132"/>
        <v>0</v>
      </c>
      <c r="AN182" s="123">
        <f t="shared" si="132"/>
        <v>0</v>
      </c>
      <c r="AO182" s="123">
        <f t="shared" si="132"/>
        <v>0</v>
      </c>
    </row>
    <row r="183" spans="2:41" s="119" customFormat="1" ht="13.5" customHeight="1" x14ac:dyDescent="0.3">
      <c r="B183" s="120" t="s">
        <v>333</v>
      </c>
      <c r="C183" s="121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1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1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</row>
    <row r="184" spans="2:41" s="119" customFormat="1" ht="13.5" customHeight="1" x14ac:dyDescent="0.3">
      <c r="B184" s="120" t="s">
        <v>195</v>
      </c>
      <c r="C184" s="121"/>
      <c r="D184" s="120">
        <f t="shared" ref="D184:O184" si="133">D183-D185</f>
        <v>0</v>
      </c>
      <c r="E184" s="120">
        <f t="shared" si="133"/>
        <v>0</v>
      </c>
      <c r="F184" s="120">
        <f t="shared" si="133"/>
        <v>0</v>
      </c>
      <c r="G184" s="120">
        <f t="shared" si="133"/>
        <v>0</v>
      </c>
      <c r="H184" s="120">
        <f t="shared" si="133"/>
        <v>0</v>
      </c>
      <c r="I184" s="120">
        <f t="shared" si="133"/>
        <v>0</v>
      </c>
      <c r="J184" s="120">
        <f t="shared" si="133"/>
        <v>0</v>
      </c>
      <c r="K184" s="120">
        <f t="shared" si="133"/>
        <v>0</v>
      </c>
      <c r="L184" s="120">
        <f t="shared" si="133"/>
        <v>0</v>
      </c>
      <c r="M184" s="120">
        <f t="shared" si="133"/>
        <v>0</v>
      </c>
      <c r="N184" s="120">
        <f t="shared" si="133"/>
        <v>0</v>
      </c>
      <c r="O184" s="120">
        <f t="shared" si="133"/>
        <v>0</v>
      </c>
      <c r="P184" s="121"/>
      <c r="Q184" s="120">
        <f t="shared" ref="Q184:AB184" si="134">Q183-Q185</f>
        <v>0</v>
      </c>
      <c r="R184" s="120">
        <f t="shared" si="134"/>
        <v>0</v>
      </c>
      <c r="S184" s="120">
        <f t="shared" si="134"/>
        <v>0</v>
      </c>
      <c r="T184" s="120">
        <f t="shared" si="134"/>
        <v>0</v>
      </c>
      <c r="U184" s="120">
        <f t="shared" si="134"/>
        <v>0</v>
      </c>
      <c r="V184" s="120">
        <f t="shared" si="134"/>
        <v>0</v>
      </c>
      <c r="W184" s="120">
        <f t="shared" si="134"/>
        <v>0</v>
      </c>
      <c r="X184" s="120">
        <f t="shared" si="134"/>
        <v>0</v>
      </c>
      <c r="Y184" s="120">
        <f t="shared" si="134"/>
        <v>0</v>
      </c>
      <c r="Z184" s="120">
        <f t="shared" si="134"/>
        <v>0</v>
      </c>
      <c r="AA184" s="120">
        <f t="shared" si="134"/>
        <v>0</v>
      </c>
      <c r="AB184" s="120">
        <f t="shared" si="134"/>
        <v>0</v>
      </c>
      <c r="AC184" s="121"/>
      <c r="AD184" s="120">
        <f t="shared" ref="AD184:AO184" si="135">AD183-AD185</f>
        <v>0</v>
      </c>
      <c r="AE184" s="120">
        <f t="shared" si="135"/>
        <v>0</v>
      </c>
      <c r="AF184" s="120">
        <f t="shared" si="135"/>
        <v>0</v>
      </c>
      <c r="AG184" s="120">
        <f t="shared" si="135"/>
        <v>0</v>
      </c>
      <c r="AH184" s="120">
        <f t="shared" si="135"/>
        <v>0</v>
      </c>
      <c r="AI184" s="120">
        <f t="shared" si="135"/>
        <v>0</v>
      </c>
      <c r="AJ184" s="120">
        <f t="shared" si="135"/>
        <v>0</v>
      </c>
      <c r="AK184" s="120">
        <f t="shared" si="135"/>
        <v>0</v>
      </c>
      <c r="AL184" s="120">
        <f t="shared" si="135"/>
        <v>0</v>
      </c>
      <c r="AM184" s="120">
        <f t="shared" si="135"/>
        <v>0</v>
      </c>
      <c r="AN184" s="120">
        <f t="shared" si="135"/>
        <v>0</v>
      </c>
      <c r="AO184" s="120">
        <f t="shared" si="135"/>
        <v>0</v>
      </c>
    </row>
    <row r="185" spans="2:41" s="119" customFormat="1" ht="13.5" customHeight="1" x14ac:dyDescent="0.3">
      <c r="B185" s="120" t="s">
        <v>334</v>
      </c>
      <c r="C185" s="121"/>
      <c r="D185" s="120">
        <f t="shared" ref="D185:O185" si="136">$D$177/12*D182</f>
        <v>0</v>
      </c>
      <c r="E185" s="120">
        <f t="shared" si="136"/>
        <v>0</v>
      </c>
      <c r="F185" s="120">
        <f t="shared" si="136"/>
        <v>0</v>
      </c>
      <c r="G185" s="120">
        <f t="shared" si="136"/>
        <v>0</v>
      </c>
      <c r="H185" s="120">
        <f t="shared" si="136"/>
        <v>0</v>
      </c>
      <c r="I185" s="120">
        <f t="shared" si="136"/>
        <v>0</v>
      </c>
      <c r="J185" s="120">
        <f t="shared" si="136"/>
        <v>0</v>
      </c>
      <c r="K185" s="120">
        <f t="shared" si="136"/>
        <v>0</v>
      </c>
      <c r="L185" s="120">
        <f t="shared" si="136"/>
        <v>0</v>
      </c>
      <c r="M185" s="120">
        <f t="shared" si="136"/>
        <v>0</v>
      </c>
      <c r="N185" s="120">
        <f t="shared" si="136"/>
        <v>0</v>
      </c>
      <c r="O185" s="120">
        <f t="shared" si="136"/>
        <v>0</v>
      </c>
      <c r="P185" s="121"/>
      <c r="Q185" s="120">
        <f t="shared" ref="Q185:AB185" si="137">$D$177/12*Q182</f>
        <v>0</v>
      </c>
      <c r="R185" s="120">
        <f t="shared" si="137"/>
        <v>0</v>
      </c>
      <c r="S185" s="120">
        <f t="shared" si="137"/>
        <v>0</v>
      </c>
      <c r="T185" s="120">
        <f t="shared" si="137"/>
        <v>0</v>
      </c>
      <c r="U185" s="120">
        <f t="shared" si="137"/>
        <v>0</v>
      </c>
      <c r="V185" s="120">
        <f t="shared" si="137"/>
        <v>0</v>
      </c>
      <c r="W185" s="120">
        <f t="shared" si="137"/>
        <v>0</v>
      </c>
      <c r="X185" s="120">
        <f t="shared" si="137"/>
        <v>0</v>
      </c>
      <c r="Y185" s="120">
        <f t="shared" si="137"/>
        <v>0</v>
      </c>
      <c r="Z185" s="120">
        <f t="shared" si="137"/>
        <v>0</v>
      </c>
      <c r="AA185" s="120">
        <f t="shared" si="137"/>
        <v>0</v>
      </c>
      <c r="AB185" s="120">
        <f t="shared" si="137"/>
        <v>0</v>
      </c>
      <c r="AC185" s="121"/>
      <c r="AD185" s="120">
        <f t="shared" ref="AD185:AO185" si="138">$D$177/12*AD182</f>
        <v>0</v>
      </c>
      <c r="AE185" s="120">
        <f t="shared" si="138"/>
        <v>0</v>
      </c>
      <c r="AF185" s="120">
        <f t="shared" si="138"/>
        <v>0</v>
      </c>
      <c r="AG185" s="120">
        <f t="shared" si="138"/>
        <v>0</v>
      </c>
      <c r="AH185" s="120">
        <f t="shared" si="138"/>
        <v>0</v>
      </c>
      <c r="AI185" s="120">
        <f t="shared" si="138"/>
        <v>0</v>
      </c>
      <c r="AJ185" s="120">
        <f t="shared" si="138"/>
        <v>0</v>
      </c>
      <c r="AK185" s="120">
        <f t="shared" si="138"/>
        <v>0</v>
      </c>
      <c r="AL185" s="120">
        <f t="shared" si="138"/>
        <v>0</v>
      </c>
      <c r="AM185" s="120">
        <f t="shared" si="138"/>
        <v>0</v>
      </c>
      <c r="AN185" s="120">
        <f t="shared" si="138"/>
        <v>0</v>
      </c>
      <c r="AO185" s="120">
        <f t="shared" si="138"/>
        <v>0</v>
      </c>
    </row>
    <row r="186" spans="2:41" s="122" customFormat="1" ht="13.5" customHeight="1" x14ac:dyDescent="0.3">
      <c r="B186" s="123" t="s">
        <v>335</v>
      </c>
      <c r="C186" s="123"/>
      <c r="D186" s="123">
        <f t="shared" ref="D186:O186" si="139">D182-D184</f>
        <v>0</v>
      </c>
      <c r="E186" s="123">
        <f t="shared" si="139"/>
        <v>0</v>
      </c>
      <c r="F186" s="123">
        <f t="shared" si="139"/>
        <v>0</v>
      </c>
      <c r="G186" s="123">
        <f t="shared" si="139"/>
        <v>0</v>
      </c>
      <c r="H186" s="123">
        <f t="shared" si="139"/>
        <v>0</v>
      </c>
      <c r="I186" s="123">
        <f t="shared" si="139"/>
        <v>0</v>
      </c>
      <c r="J186" s="123">
        <f t="shared" si="139"/>
        <v>0</v>
      </c>
      <c r="K186" s="123">
        <f t="shared" si="139"/>
        <v>0</v>
      </c>
      <c r="L186" s="123">
        <f t="shared" si="139"/>
        <v>0</v>
      </c>
      <c r="M186" s="123">
        <f t="shared" si="139"/>
        <v>0</v>
      </c>
      <c r="N186" s="123">
        <f t="shared" si="139"/>
        <v>0</v>
      </c>
      <c r="O186" s="123">
        <f t="shared" si="139"/>
        <v>0</v>
      </c>
      <c r="P186" s="123"/>
      <c r="Q186" s="123">
        <f t="shared" ref="Q186:AB186" si="140">Q182-Q184</f>
        <v>0</v>
      </c>
      <c r="R186" s="123">
        <f t="shared" si="140"/>
        <v>0</v>
      </c>
      <c r="S186" s="123">
        <f t="shared" si="140"/>
        <v>0</v>
      </c>
      <c r="T186" s="123">
        <f t="shared" si="140"/>
        <v>0</v>
      </c>
      <c r="U186" s="123">
        <f t="shared" si="140"/>
        <v>0</v>
      </c>
      <c r="V186" s="123">
        <f t="shared" si="140"/>
        <v>0</v>
      </c>
      <c r="W186" s="123">
        <f t="shared" si="140"/>
        <v>0</v>
      </c>
      <c r="X186" s="123">
        <f t="shared" si="140"/>
        <v>0</v>
      </c>
      <c r="Y186" s="123">
        <f t="shared" si="140"/>
        <v>0</v>
      </c>
      <c r="Z186" s="123">
        <f t="shared" si="140"/>
        <v>0</v>
      </c>
      <c r="AA186" s="123">
        <f t="shared" si="140"/>
        <v>0</v>
      </c>
      <c r="AB186" s="123">
        <f t="shared" si="140"/>
        <v>0</v>
      </c>
      <c r="AC186" s="123"/>
      <c r="AD186" s="123">
        <f t="shared" ref="AD186:AO186" si="141">AD182-AD184</f>
        <v>0</v>
      </c>
      <c r="AE186" s="123">
        <f t="shared" si="141"/>
        <v>0</v>
      </c>
      <c r="AF186" s="123">
        <f t="shared" si="141"/>
        <v>0</v>
      </c>
      <c r="AG186" s="123">
        <f t="shared" si="141"/>
        <v>0</v>
      </c>
      <c r="AH186" s="123">
        <f t="shared" si="141"/>
        <v>0</v>
      </c>
      <c r="AI186" s="123">
        <f t="shared" si="141"/>
        <v>0</v>
      </c>
      <c r="AJ186" s="123">
        <f t="shared" si="141"/>
        <v>0</v>
      </c>
      <c r="AK186" s="123">
        <f t="shared" si="141"/>
        <v>0</v>
      </c>
      <c r="AL186" s="123">
        <f t="shared" si="141"/>
        <v>0</v>
      </c>
      <c r="AM186" s="123">
        <f t="shared" si="141"/>
        <v>0</v>
      </c>
      <c r="AN186" s="123">
        <f t="shared" si="141"/>
        <v>0</v>
      </c>
      <c r="AO186" s="123">
        <f t="shared" si="141"/>
        <v>0</v>
      </c>
    </row>
    <row r="187" spans="2:41" ht="13.5" customHeight="1" x14ac:dyDescent="0.3">
      <c r="C187" s="73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73"/>
      <c r="AC187" s="73"/>
    </row>
    <row r="188" spans="2:41" ht="13.5" customHeight="1" x14ac:dyDescent="0.3">
      <c r="B188" s="39" t="s">
        <v>337</v>
      </c>
    </row>
    <row r="190" spans="2:41" s="53" customFormat="1" ht="13.5" customHeight="1" x14ac:dyDescent="0.3">
      <c r="B190" s="86" t="s">
        <v>326</v>
      </c>
      <c r="C190" s="86">
        <f>SUM(D190:O190)</f>
        <v>0</v>
      </c>
      <c r="D190" s="86">
        <v>0</v>
      </c>
      <c r="E190" s="45"/>
      <c r="F190" s="45"/>
      <c r="G190" s="2"/>
      <c r="H190" s="2"/>
      <c r="I190" s="2"/>
      <c r="J190" s="45"/>
      <c r="K190" s="45"/>
      <c r="L190" s="45"/>
      <c r="M190" s="45"/>
      <c r="N190" s="45"/>
      <c r="O190" s="45"/>
      <c r="P190" s="86">
        <f>C190</f>
        <v>0</v>
      </c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86">
        <f>P190</f>
        <v>0</v>
      </c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</row>
    <row r="191" spans="2:41" s="53" customFormat="1" ht="13.5" customHeight="1" x14ac:dyDescent="0.3">
      <c r="B191" s="86" t="s">
        <v>327</v>
      </c>
      <c r="C191" s="115"/>
      <c r="D191" s="115">
        <v>4.4999999999999998E-2</v>
      </c>
      <c r="E191" s="45"/>
      <c r="F191" s="45"/>
      <c r="G191" s="2"/>
      <c r="H191" s="2"/>
      <c r="I191" s="2"/>
      <c r="J191" s="45"/>
      <c r="K191" s="45"/>
      <c r="L191" s="45"/>
      <c r="M191" s="45"/>
      <c r="N191" s="45"/>
      <c r="O191" s="45"/>
      <c r="P191" s="115">
        <f>C191</f>
        <v>0</v>
      </c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115">
        <f>P191</f>
        <v>0</v>
      </c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</row>
    <row r="192" spans="2:41" s="53" customFormat="1" ht="13.5" customHeight="1" x14ac:dyDescent="0.3">
      <c r="B192" s="86" t="s">
        <v>328</v>
      </c>
      <c r="C192" s="86"/>
      <c r="D192" s="86"/>
      <c r="E192" s="45"/>
      <c r="F192" s="45"/>
      <c r="G192" s="2"/>
      <c r="H192" s="2"/>
      <c r="I192" s="2"/>
      <c r="J192" s="45"/>
      <c r="K192" s="45"/>
      <c r="L192" s="45"/>
      <c r="M192" s="45"/>
      <c r="N192" s="45"/>
      <c r="O192" s="45"/>
      <c r="P192" s="86">
        <f>C192</f>
        <v>0</v>
      </c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86">
        <f>P192</f>
        <v>0</v>
      </c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</row>
    <row r="193" spans="2:41" s="53" customFormat="1" ht="13.5" customHeight="1" x14ac:dyDescent="0.3">
      <c r="B193" s="2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</row>
    <row r="194" spans="2:41" s="116" customFormat="1" ht="30.75" customHeight="1" x14ac:dyDescent="0.3">
      <c r="B194" s="10"/>
      <c r="C194" s="117" t="s">
        <v>329</v>
      </c>
      <c r="D194" s="118">
        <v>1</v>
      </c>
      <c r="E194" s="118">
        <v>2</v>
      </c>
      <c r="F194" s="118">
        <f t="shared" ref="F194:O194" si="142">E194+1</f>
        <v>3</v>
      </c>
      <c r="G194" s="118">
        <f t="shared" si="142"/>
        <v>4</v>
      </c>
      <c r="H194" s="118">
        <f t="shared" si="142"/>
        <v>5</v>
      </c>
      <c r="I194" s="118">
        <f t="shared" si="142"/>
        <v>6</v>
      </c>
      <c r="J194" s="118">
        <f t="shared" si="142"/>
        <v>7</v>
      </c>
      <c r="K194" s="118">
        <f t="shared" si="142"/>
        <v>8</v>
      </c>
      <c r="L194" s="118">
        <f t="shared" si="142"/>
        <v>9</v>
      </c>
      <c r="M194" s="118">
        <f t="shared" si="142"/>
        <v>10</v>
      </c>
      <c r="N194" s="118">
        <f t="shared" si="142"/>
        <v>11</v>
      </c>
      <c r="O194" s="118">
        <f t="shared" si="142"/>
        <v>12</v>
      </c>
      <c r="P194" s="117" t="s">
        <v>330</v>
      </c>
      <c r="Q194" s="118">
        <f>O194+1</f>
        <v>13</v>
      </c>
      <c r="R194" s="118">
        <f t="shared" ref="R194:AB194" si="143">Q194+1</f>
        <v>14</v>
      </c>
      <c r="S194" s="118">
        <f t="shared" si="143"/>
        <v>15</v>
      </c>
      <c r="T194" s="118">
        <f t="shared" si="143"/>
        <v>16</v>
      </c>
      <c r="U194" s="118">
        <f t="shared" si="143"/>
        <v>17</v>
      </c>
      <c r="V194" s="118">
        <f t="shared" si="143"/>
        <v>18</v>
      </c>
      <c r="W194" s="118">
        <f t="shared" si="143"/>
        <v>19</v>
      </c>
      <c r="X194" s="118">
        <f t="shared" si="143"/>
        <v>20</v>
      </c>
      <c r="Y194" s="118">
        <f t="shared" si="143"/>
        <v>21</v>
      </c>
      <c r="Z194" s="118">
        <f t="shared" si="143"/>
        <v>22</v>
      </c>
      <c r="AA194" s="118">
        <f t="shared" si="143"/>
        <v>23</v>
      </c>
      <c r="AB194" s="118">
        <f t="shared" si="143"/>
        <v>24</v>
      </c>
      <c r="AC194" s="117" t="s">
        <v>331</v>
      </c>
      <c r="AD194" s="118">
        <f>AB194+1</f>
        <v>25</v>
      </c>
      <c r="AE194" s="118">
        <f t="shared" ref="AE194:AO194" si="144">AD194+1</f>
        <v>26</v>
      </c>
      <c r="AF194" s="118">
        <f t="shared" si="144"/>
        <v>27</v>
      </c>
      <c r="AG194" s="118">
        <f t="shared" si="144"/>
        <v>28</v>
      </c>
      <c r="AH194" s="118">
        <f t="shared" si="144"/>
        <v>29</v>
      </c>
      <c r="AI194" s="118">
        <f t="shared" si="144"/>
        <v>30</v>
      </c>
      <c r="AJ194" s="118">
        <f t="shared" si="144"/>
        <v>31</v>
      </c>
      <c r="AK194" s="118">
        <f t="shared" si="144"/>
        <v>32</v>
      </c>
      <c r="AL194" s="118">
        <f t="shared" si="144"/>
        <v>33</v>
      </c>
      <c r="AM194" s="118">
        <f t="shared" si="144"/>
        <v>34</v>
      </c>
      <c r="AN194" s="118">
        <f t="shared" si="144"/>
        <v>35</v>
      </c>
      <c r="AO194" s="118">
        <f t="shared" si="144"/>
        <v>36</v>
      </c>
    </row>
    <row r="195" spans="2:41" s="53" customFormat="1" ht="13.5" customHeight="1" x14ac:dyDescent="0.3">
      <c r="B195" s="2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</row>
    <row r="196" spans="2:41" ht="13.5" customHeight="1" x14ac:dyDescent="0.3">
      <c r="B196" s="82" t="s">
        <v>332</v>
      </c>
      <c r="C196" s="82"/>
      <c r="D196" s="82">
        <f>D190</f>
        <v>0</v>
      </c>
      <c r="E196" s="82">
        <f t="shared" ref="E196:O196" si="145">D200</f>
        <v>0</v>
      </c>
      <c r="F196" s="82">
        <f t="shared" si="145"/>
        <v>0</v>
      </c>
      <c r="G196" s="82">
        <f t="shared" si="145"/>
        <v>0</v>
      </c>
      <c r="H196" s="82">
        <f t="shared" si="145"/>
        <v>0</v>
      </c>
      <c r="I196" s="82">
        <f t="shared" si="145"/>
        <v>0</v>
      </c>
      <c r="J196" s="82">
        <f t="shared" si="145"/>
        <v>0</v>
      </c>
      <c r="K196" s="82">
        <f t="shared" si="145"/>
        <v>0</v>
      </c>
      <c r="L196" s="82">
        <f t="shared" si="145"/>
        <v>0</v>
      </c>
      <c r="M196" s="82">
        <f t="shared" si="145"/>
        <v>0</v>
      </c>
      <c r="N196" s="82">
        <f t="shared" si="145"/>
        <v>0</v>
      </c>
      <c r="O196" s="82">
        <f t="shared" si="145"/>
        <v>0</v>
      </c>
      <c r="P196" s="82"/>
      <c r="Q196" s="82">
        <f>O200</f>
        <v>0</v>
      </c>
      <c r="R196" s="82">
        <f t="shared" ref="R196:AB196" si="146">Q200</f>
        <v>0</v>
      </c>
      <c r="S196" s="82">
        <f t="shared" si="146"/>
        <v>0</v>
      </c>
      <c r="T196" s="82">
        <f t="shared" si="146"/>
        <v>0</v>
      </c>
      <c r="U196" s="82">
        <f t="shared" si="146"/>
        <v>0</v>
      </c>
      <c r="V196" s="82">
        <f t="shared" si="146"/>
        <v>0</v>
      </c>
      <c r="W196" s="82">
        <f t="shared" si="146"/>
        <v>0</v>
      </c>
      <c r="X196" s="82">
        <f t="shared" si="146"/>
        <v>0</v>
      </c>
      <c r="Y196" s="82">
        <f t="shared" si="146"/>
        <v>0</v>
      </c>
      <c r="Z196" s="82">
        <f t="shared" si="146"/>
        <v>0</v>
      </c>
      <c r="AA196" s="82">
        <f t="shared" si="146"/>
        <v>0</v>
      </c>
      <c r="AB196" s="82">
        <f t="shared" si="146"/>
        <v>0</v>
      </c>
      <c r="AC196" s="82"/>
      <c r="AD196" s="82">
        <f>AB200</f>
        <v>0</v>
      </c>
      <c r="AE196" s="82">
        <f t="shared" ref="AE196:AO196" si="147">AD200</f>
        <v>0</v>
      </c>
      <c r="AF196" s="82">
        <f t="shared" si="147"/>
        <v>0</v>
      </c>
      <c r="AG196" s="82">
        <f t="shared" si="147"/>
        <v>0</v>
      </c>
      <c r="AH196" s="82">
        <f t="shared" si="147"/>
        <v>0</v>
      </c>
      <c r="AI196" s="82">
        <f t="shared" si="147"/>
        <v>0</v>
      </c>
      <c r="AJ196" s="82">
        <f t="shared" si="147"/>
        <v>0</v>
      </c>
      <c r="AK196" s="82">
        <f t="shared" si="147"/>
        <v>0</v>
      </c>
      <c r="AL196" s="82">
        <f t="shared" si="147"/>
        <v>0</v>
      </c>
      <c r="AM196" s="82">
        <f t="shared" si="147"/>
        <v>0</v>
      </c>
      <c r="AN196" s="82">
        <f t="shared" si="147"/>
        <v>0</v>
      </c>
      <c r="AO196" s="82">
        <f t="shared" si="147"/>
        <v>0</v>
      </c>
    </row>
    <row r="197" spans="2:41" s="53" customFormat="1" ht="13.5" customHeight="1" x14ac:dyDescent="0.3">
      <c r="B197" s="86" t="s">
        <v>333</v>
      </c>
      <c r="C197" s="129"/>
      <c r="D197" s="130">
        <v>0</v>
      </c>
      <c r="E197" s="130">
        <v>0</v>
      </c>
      <c r="F197" s="130">
        <v>0</v>
      </c>
      <c r="G197" s="130">
        <v>0</v>
      </c>
      <c r="H197" s="130">
        <v>0</v>
      </c>
      <c r="I197" s="130">
        <v>0</v>
      </c>
      <c r="J197" s="130">
        <v>0</v>
      </c>
      <c r="K197" s="130">
        <v>0</v>
      </c>
      <c r="L197" s="130">
        <v>0</v>
      </c>
      <c r="M197" s="130">
        <v>0</v>
      </c>
      <c r="N197" s="130">
        <v>0</v>
      </c>
      <c r="O197" s="130">
        <v>0</v>
      </c>
      <c r="P197" s="129"/>
      <c r="Q197" s="130">
        <v>0</v>
      </c>
      <c r="R197" s="130">
        <v>0</v>
      </c>
      <c r="S197" s="130">
        <v>0</v>
      </c>
      <c r="T197" s="130">
        <v>0</v>
      </c>
      <c r="U197" s="130">
        <v>0</v>
      </c>
      <c r="V197" s="130">
        <v>0</v>
      </c>
      <c r="W197" s="130">
        <v>0</v>
      </c>
      <c r="X197" s="130">
        <v>0</v>
      </c>
      <c r="Y197" s="130">
        <v>0</v>
      </c>
      <c r="Z197" s="130">
        <v>0</v>
      </c>
      <c r="AA197" s="130">
        <v>0</v>
      </c>
      <c r="AB197" s="130">
        <v>0</v>
      </c>
      <c r="AC197" s="129"/>
      <c r="AD197" s="130">
        <v>0</v>
      </c>
      <c r="AE197" s="130">
        <v>0</v>
      </c>
      <c r="AF197" s="130">
        <v>0</v>
      </c>
      <c r="AG197" s="130">
        <v>0</v>
      </c>
      <c r="AH197" s="130">
        <v>0</v>
      </c>
      <c r="AI197" s="130">
        <v>0</v>
      </c>
      <c r="AJ197" s="130">
        <v>0</v>
      </c>
      <c r="AK197" s="130">
        <v>0</v>
      </c>
      <c r="AL197" s="130">
        <v>0</v>
      </c>
      <c r="AM197" s="130">
        <v>0</v>
      </c>
      <c r="AN197" s="130">
        <v>0</v>
      </c>
      <c r="AO197" s="130">
        <v>0</v>
      </c>
    </row>
    <row r="198" spans="2:41" s="53" customFormat="1" ht="13.5" customHeight="1" x14ac:dyDescent="0.3">
      <c r="B198" s="86" t="s">
        <v>195</v>
      </c>
      <c r="C198" s="129"/>
      <c r="D198" s="109">
        <f t="shared" ref="D198:O198" si="148">D197-D199</f>
        <v>0</v>
      </c>
      <c r="E198" s="109">
        <f t="shared" si="148"/>
        <v>0</v>
      </c>
      <c r="F198" s="109">
        <f t="shared" si="148"/>
        <v>0</v>
      </c>
      <c r="G198" s="109">
        <f t="shared" si="148"/>
        <v>0</v>
      </c>
      <c r="H198" s="109">
        <f t="shared" si="148"/>
        <v>0</v>
      </c>
      <c r="I198" s="109">
        <f t="shared" si="148"/>
        <v>0</v>
      </c>
      <c r="J198" s="109">
        <f t="shared" si="148"/>
        <v>0</v>
      </c>
      <c r="K198" s="109">
        <f t="shared" si="148"/>
        <v>0</v>
      </c>
      <c r="L198" s="109">
        <f t="shared" si="148"/>
        <v>0</v>
      </c>
      <c r="M198" s="109">
        <f t="shared" si="148"/>
        <v>0</v>
      </c>
      <c r="N198" s="109">
        <f t="shared" si="148"/>
        <v>0</v>
      </c>
      <c r="O198" s="109">
        <f t="shared" si="148"/>
        <v>0</v>
      </c>
      <c r="P198" s="129"/>
      <c r="Q198" s="109">
        <f t="shared" ref="Q198:AB198" si="149">Q197-Q199</f>
        <v>0</v>
      </c>
      <c r="R198" s="109">
        <f t="shared" si="149"/>
        <v>0</v>
      </c>
      <c r="S198" s="109">
        <f t="shared" si="149"/>
        <v>0</v>
      </c>
      <c r="T198" s="109">
        <f t="shared" si="149"/>
        <v>0</v>
      </c>
      <c r="U198" s="109">
        <f t="shared" si="149"/>
        <v>0</v>
      </c>
      <c r="V198" s="109">
        <f t="shared" si="149"/>
        <v>0</v>
      </c>
      <c r="W198" s="109">
        <f t="shared" si="149"/>
        <v>0</v>
      </c>
      <c r="X198" s="109">
        <f t="shared" si="149"/>
        <v>0</v>
      </c>
      <c r="Y198" s="109">
        <f t="shared" si="149"/>
        <v>0</v>
      </c>
      <c r="Z198" s="109">
        <f t="shared" si="149"/>
        <v>0</v>
      </c>
      <c r="AA198" s="109">
        <f t="shared" si="149"/>
        <v>0</v>
      </c>
      <c r="AB198" s="109">
        <f t="shared" si="149"/>
        <v>0</v>
      </c>
      <c r="AC198" s="129"/>
      <c r="AD198" s="109">
        <f t="shared" ref="AD198:AO198" si="150">AD197-AD199</f>
        <v>0</v>
      </c>
      <c r="AE198" s="109">
        <f t="shared" si="150"/>
        <v>0</v>
      </c>
      <c r="AF198" s="109">
        <f t="shared" si="150"/>
        <v>0</v>
      </c>
      <c r="AG198" s="109">
        <f t="shared" si="150"/>
        <v>0</v>
      </c>
      <c r="AH198" s="109">
        <f t="shared" si="150"/>
        <v>0</v>
      </c>
      <c r="AI198" s="109">
        <f t="shared" si="150"/>
        <v>0</v>
      </c>
      <c r="AJ198" s="109">
        <f t="shared" si="150"/>
        <v>0</v>
      </c>
      <c r="AK198" s="109">
        <f t="shared" si="150"/>
        <v>0</v>
      </c>
      <c r="AL198" s="109">
        <f t="shared" si="150"/>
        <v>0</v>
      </c>
      <c r="AM198" s="109">
        <f t="shared" si="150"/>
        <v>0</v>
      </c>
      <c r="AN198" s="109">
        <f t="shared" si="150"/>
        <v>0</v>
      </c>
      <c r="AO198" s="109">
        <f t="shared" si="150"/>
        <v>0</v>
      </c>
    </row>
    <row r="199" spans="2:41" s="53" customFormat="1" ht="13.5" customHeight="1" x14ac:dyDescent="0.3">
      <c r="B199" s="86" t="s">
        <v>334</v>
      </c>
      <c r="C199" s="129"/>
      <c r="D199" s="109">
        <f t="shared" ref="D199:O199" si="151">$D$191/12*D196</f>
        <v>0</v>
      </c>
      <c r="E199" s="109">
        <f t="shared" si="151"/>
        <v>0</v>
      </c>
      <c r="F199" s="109">
        <f t="shared" si="151"/>
        <v>0</v>
      </c>
      <c r="G199" s="109">
        <f t="shared" si="151"/>
        <v>0</v>
      </c>
      <c r="H199" s="109">
        <f t="shared" si="151"/>
        <v>0</v>
      </c>
      <c r="I199" s="109">
        <f t="shared" si="151"/>
        <v>0</v>
      </c>
      <c r="J199" s="109">
        <f t="shared" si="151"/>
        <v>0</v>
      </c>
      <c r="K199" s="109">
        <f t="shared" si="151"/>
        <v>0</v>
      </c>
      <c r="L199" s="109">
        <f t="shared" si="151"/>
        <v>0</v>
      </c>
      <c r="M199" s="109">
        <f t="shared" si="151"/>
        <v>0</v>
      </c>
      <c r="N199" s="109">
        <f t="shared" si="151"/>
        <v>0</v>
      </c>
      <c r="O199" s="109">
        <f t="shared" si="151"/>
        <v>0</v>
      </c>
      <c r="P199" s="129"/>
      <c r="Q199" s="109">
        <f t="shared" ref="Q199:AB199" si="152">$D$191/12*Q196</f>
        <v>0</v>
      </c>
      <c r="R199" s="109">
        <f t="shared" si="152"/>
        <v>0</v>
      </c>
      <c r="S199" s="109">
        <f t="shared" si="152"/>
        <v>0</v>
      </c>
      <c r="T199" s="109">
        <f t="shared" si="152"/>
        <v>0</v>
      </c>
      <c r="U199" s="109">
        <f t="shared" si="152"/>
        <v>0</v>
      </c>
      <c r="V199" s="109">
        <f t="shared" si="152"/>
        <v>0</v>
      </c>
      <c r="W199" s="109">
        <f t="shared" si="152"/>
        <v>0</v>
      </c>
      <c r="X199" s="109">
        <f t="shared" si="152"/>
        <v>0</v>
      </c>
      <c r="Y199" s="109">
        <f t="shared" si="152"/>
        <v>0</v>
      </c>
      <c r="Z199" s="109">
        <f t="shared" si="152"/>
        <v>0</v>
      </c>
      <c r="AA199" s="109">
        <f t="shared" si="152"/>
        <v>0</v>
      </c>
      <c r="AB199" s="109">
        <f t="shared" si="152"/>
        <v>0</v>
      </c>
      <c r="AC199" s="129"/>
      <c r="AD199" s="109">
        <f t="shared" ref="AD199:AO199" si="153">$D$191/12*AD196</f>
        <v>0</v>
      </c>
      <c r="AE199" s="109">
        <f t="shared" si="153"/>
        <v>0</v>
      </c>
      <c r="AF199" s="109">
        <f t="shared" si="153"/>
        <v>0</v>
      </c>
      <c r="AG199" s="109">
        <f t="shared" si="153"/>
        <v>0</v>
      </c>
      <c r="AH199" s="109">
        <f t="shared" si="153"/>
        <v>0</v>
      </c>
      <c r="AI199" s="109">
        <f t="shared" si="153"/>
        <v>0</v>
      </c>
      <c r="AJ199" s="109">
        <f t="shared" si="153"/>
        <v>0</v>
      </c>
      <c r="AK199" s="109">
        <f t="shared" si="153"/>
        <v>0</v>
      </c>
      <c r="AL199" s="109">
        <f t="shared" si="153"/>
        <v>0</v>
      </c>
      <c r="AM199" s="109">
        <f t="shared" si="153"/>
        <v>0</v>
      </c>
      <c r="AN199" s="109">
        <f t="shared" si="153"/>
        <v>0</v>
      </c>
      <c r="AO199" s="109">
        <f t="shared" si="153"/>
        <v>0</v>
      </c>
    </row>
    <row r="200" spans="2:41" ht="13.5" customHeight="1" x14ac:dyDescent="0.3">
      <c r="B200" s="82" t="s">
        <v>335</v>
      </c>
      <c r="C200" s="82"/>
      <c r="D200" s="82">
        <f t="shared" ref="D200:O200" si="154">D196-D198</f>
        <v>0</v>
      </c>
      <c r="E200" s="82">
        <f t="shared" si="154"/>
        <v>0</v>
      </c>
      <c r="F200" s="82">
        <f t="shared" si="154"/>
        <v>0</v>
      </c>
      <c r="G200" s="82">
        <f t="shared" si="154"/>
        <v>0</v>
      </c>
      <c r="H200" s="82">
        <f t="shared" si="154"/>
        <v>0</v>
      </c>
      <c r="I200" s="82">
        <f t="shared" si="154"/>
        <v>0</v>
      </c>
      <c r="J200" s="82">
        <f t="shared" si="154"/>
        <v>0</v>
      </c>
      <c r="K200" s="82">
        <f t="shared" si="154"/>
        <v>0</v>
      </c>
      <c r="L200" s="82">
        <f t="shared" si="154"/>
        <v>0</v>
      </c>
      <c r="M200" s="82">
        <f t="shared" si="154"/>
        <v>0</v>
      </c>
      <c r="N200" s="82">
        <f t="shared" si="154"/>
        <v>0</v>
      </c>
      <c r="O200" s="82">
        <f t="shared" si="154"/>
        <v>0</v>
      </c>
      <c r="P200" s="82"/>
      <c r="Q200" s="82">
        <f t="shared" ref="Q200:AB200" si="155">Q196-Q198</f>
        <v>0</v>
      </c>
      <c r="R200" s="82">
        <f t="shared" si="155"/>
        <v>0</v>
      </c>
      <c r="S200" s="82">
        <f t="shared" si="155"/>
        <v>0</v>
      </c>
      <c r="T200" s="82">
        <f t="shared" si="155"/>
        <v>0</v>
      </c>
      <c r="U200" s="82">
        <f t="shared" si="155"/>
        <v>0</v>
      </c>
      <c r="V200" s="82">
        <f t="shared" si="155"/>
        <v>0</v>
      </c>
      <c r="W200" s="82">
        <f t="shared" si="155"/>
        <v>0</v>
      </c>
      <c r="X200" s="82">
        <f t="shared" si="155"/>
        <v>0</v>
      </c>
      <c r="Y200" s="82">
        <f t="shared" si="155"/>
        <v>0</v>
      </c>
      <c r="Z200" s="82">
        <f t="shared" si="155"/>
        <v>0</v>
      </c>
      <c r="AA200" s="82">
        <f t="shared" si="155"/>
        <v>0</v>
      </c>
      <c r="AB200" s="82">
        <f t="shared" si="155"/>
        <v>0</v>
      </c>
      <c r="AC200" s="82"/>
      <c r="AD200" s="82">
        <f t="shared" ref="AD200:AO200" si="156">AD196-AD198</f>
        <v>0</v>
      </c>
      <c r="AE200" s="82">
        <f t="shared" si="156"/>
        <v>0</v>
      </c>
      <c r="AF200" s="82">
        <f t="shared" si="156"/>
        <v>0</v>
      </c>
      <c r="AG200" s="82">
        <f t="shared" si="156"/>
        <v>0</v>
      </c>
      <c r="AH200" s="82">
        <f t="shared" si="156"/>
        <v>0</v>
      </c>
      <c r="AI200" s="82">
        <f t="shared" si="156"/>
        <v>0</v>
      </c>
      <c r="AJ200" s="82">
        <f t="shared" si="156"/>
        <v>0</v>
      </c>
      <c r="AK200" s="82">
        <f t="shared" si="156"/>
        <v>0</v>
      </c>
      <c r="AL200" s="82">
        <f t="shared" si="156"/>
        <v>0</v>
      </c>
      <c r="AM200" s="82">
        <f t="shared" si="156"/>
        <v>0</v>
      </c>
      <c r="AN200" s="82">
        <f t="shared" si="156"/>
        <v>0</v>
      </c>
      <c r="AO200" s="82">
        <f t="shared" si="156"/>
        <v>0</v>
      </c>
    </row>
  </sheetData>
  <sheetProtection algorithmName="SHA-512" hashValue="1viCCM7XqFlsF8QXe+w1cwJMrNPvqy+DpJuAsvhFHRROEZW2MQmgFAG47YMSRIVarzViagGBK2o5pPxO26gg1A==" saltValue="9JyHERP1wpIlfZ7SMKdxkw==" spinCount="100000" sheet="1" objects="1" scenarios="1"/>
  <pageMargins left="0.51180555555555596" right="0.31527777777777799" top="0.82708333333333295" bottom="0.47222222222222199" header="0.35416666666666702" footer="0.196527777777778"/>
  <pageSetup paperSize="9" orientation="portrait" horizontalDpi="300" verticalDpi="300" r:id="rId1"/>
  <rowBreaks count="3" manualBreakCount="3">
    <brk id="25" max="16383" man="1"/>
    <brk id="74" max="16383" man="1"/>
    <brk id="130" max="16383" man="1"/>
  </rowBreaks>
  <colBreaks count="2" manualBreakCount="2">
    <brk id="15" max="1048575" man="1"/>
    <brk id="2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V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:A4"/>
    </sheetView>
  </sheetViews>
  <sheetFormatPr baseColWidth="10" defaultColWidth="10.88671875" defaultRowHeight="13.8" x14ac:dyDescent="0.3"/>
  <cols>
    <col min="1" max="2" width="13.77734375" style="44" bestFit="1" customWidth="1"/>
    <col min="3" max="3" width="23.109375" style="44" bestFit="1" customWidth="1"/>
    <col min="4" max="4" width="13.77734375" style="158" bestFit="1" customWidth="1"/>
    <col min="5" max="5" width="28.21875" style="2" customWidth="1"/>
    <col min="6" max="6" width="11.5546875" style="131" customWidth="1"/>
    <col min="7" max="7" width="11.109375" style="131" customWidth="1"/>
    <col min="8" max="8" width="11.5546875" style="131" customWidth="1"/>
    <col min="9" max="9" width="10.44140625" style="131" customWidth="1"/>
    <col min="10" max="11" width="10.21875" style="131" customWidth="1"/>
    <col min="12" max="12" width="10" style="131" customWidth="1"/>
    <col min="13" max="13" width="11.21875" style="131" customWidth="1"/>
    <col min="14" max="14" width="11.6640625" style="131" customWidth="1"/>
    <col min="15" max="15" width="10.6640625" style="131" customWidth="1"/>
    <col min="16" max="16" width="11.109375" style="131" customWidth="1"/>
    <col min="17" max="17" width="11.21875" style="131" customWidth="1"/>
    <col min="18" max="18" width="12.88671875" style="131" customWidth="1"/>
    <col min="20" max="20" width="28.21875" style="2" customWidth="1"/>
    <col min="21" max="21" width="11.5546875" style="131" customWidth="1"/>
    <col min="22" max="22" width="11.109375" style="131" customWidth="1"/>
    <col min="23" max="23" width="11.5546875" style="131" customWidth="1"/>
    <col min="24" max="24" width="10.44140625" style="131" customWidth="1"/>
    <col min="25" max="26" width="10.21875" style="131" customWidth="1"/>
    <col min="27" max="27" width="10" style="131" customWidth="1"/>
    <col min="28" max="28" width="11.21875" style="131" customWidth="1"/>
    <col min="29" max="29" width="11.6640625" style="131" customWidth="1"/>
    <col min="30" max="30" width="10.6640625" style="131" customWidth="1"/>
    <col min="31" max="31" width="11.109375" style="131" customWidth="1"/>
    <col min="32" max="33" width="11.21875" style="131" customWidth="1"/>
    <col min="35" max="35" width="28.21875" style="2" customWidth="1"/>
    <col min="36" max="36" width="11.5546875" style="131" customWidth="1"/>
    <col min="37" max="37" width="11.21875" style="131" customWidth="1"/>
    <col min="38" max="38" width="11.5546875" style="131" customWidth="1"/>
    <col min="39" max="43" width="11.21875" style="131" customWidth="1"/>
    <col min="44" max="44" width="11.6640625" style="131" customWidth="1"/>
    <col min="45" max="47" width="11.21875" style="131" customWidth="1"/>
    <col min="48" max="48" width="13.33203125" style="131" customWidth="1"/>
  </cols>
  <sheetData>
    <row r="2" spans="1:48" ht="14.25" customHeight="1" x14ac:dyDescent="0.3">
      <c r="A2" s="211"/>
      <c r="B2" s="211" t="s">
        <v>338</v>
      </c>
      <c r="C2" s="211" t="s">
        <v>339</v>
      </c>
      <c r="D2" s="218" t="s">
        <v>340</v>
      </c>
      <c r="E2" s="214">
        <v>2025</v>
      </c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6"/>
      <c r="T2" s="214">
        <v>2026</v>
      </c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6"/>
      <c r="AI2" s="214">
        <v>2027</v>
      </c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6"/>
    </row>
    <row r="3" spans="1:48" ht="14.25" customHeight="1" x14ac:dyDescent="0.3">
      <c r="A3" s="212"/>
      <c r="B3" s="212"/>
      <c r="C3" s="212"/>
      <c r="D3" s="219"/>
      <c r="E3" s="217" t="s">
        <v>341</v>
      </c>
      <c r="F3" s="214" t="s">
        <v>342</v>
      </c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6"/>
      <c r="T3" s="217" t="s">
        <v>341</v>
      </c>
      <c r="U3" s="214" t="s">
        <v>342</v>
      </c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6"/>
      <c r="AI3" s="217" t="s">
        <v>341</v>
      </c>
      <c r="AJ3" s="214" t="s">
        <v>342</v>
      </c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6"/>
    </row>
    <row r="4" spans="1:48" ht="14.25" customHeight="1" x14ac:dyDescent="0.25">
      <c r="A4" s="213"/>
      <c r="B4" s="213"/>
      <c r="C4" s="213"/>
      <c r="D4" s="220"/>
      <c r="E4" s="213"/>
      <c r="F4" s="132">
        <v>46023</v>
      </c>
      <c r="G4" s="132">
        <f t="shared" ref="G4:Q4" si="0">EOMONTH(F4,1)</f>
        <v>46081</v>
      </c>
      <c r="H4" s="132">
        <f t="shared" si="0"/>
        <v>46112</v>
      </c>
      <c r="I4" s="132">
        <f t="shared" si="0"/>
        <v>46142</v>
      </c>
      <c r="J4" s="132">
        <f t="shared" si="0"/>
        <v>46173</v>
      </c>
      <c r="K4" s="132">
        <f t="shared" si="0"/>
        <v>46203</v>
      </c>
      <c r="L4" s="132">
        <f t="shared" si="0"/>
        <v>46234</v>
      </c>
      <c r="M4" s="132">
        <f t="shared" si="0"/>
        <v>46265</v>
      </c>
      <c r="N4" s="132">
        <f t="shared" si="0"/>
        <v>46295</v>
      </c>
      <c r="O4" s="132">
        <f t="shared" si="0"/>
        <v>46326</v>
      </c>
      <c r="P4" s="132">
        <f t="shared" si="0"/>
        <v>46356</v>
      </c>
      <c r="Q4" s="132">
        <f t="shared" si="0"/>
        <v>46387</v>
      </c>
      <c r="R4" s="1" t="s">
        <v>343</v>
      </c>
      <c r="T4" s="213"/>
      <c r="U4" s="132">
        <v>46418</v>
      </c>
      <c r="V4" s="132">
        <f t="shared" ref="V4:AF4" si="1">EOMONTH(U4,1)</f>
        <v>46446</v>
      </c>
      <c r="W4" s="132">
        <f t="shared" si="1"/>
        <v>46477</v>
      </c>
      <c r="X4" s="132">
        <f t="shared" si="1"/>
        <v>46507</v>
      </c>
      <c r="Y4" s="132">
        <f t="shared" si="1"/>
        <v>46538</v>
      </c>
      <c r="Z4" s="132">
        <f t="shared" si="1"/>
        <v>46568</v>
      </c>
      <c r="AA4" s="132">
        <f t="shared" si="1"/>
        <v>46599</v>
      </c>
      <c r="AB4" s="132">
        <f t="shared" si="1"/>
        <v>46630</v>
      </c>
      <c r="AC4" s="132">
        <f t="shared" si="1"/>
        <v>46660</v>
      </c>
      <c r="AD4" s="132">
        <f t="shared" si="1"/>
        <v>46691</v>
      </c>
      <c r="AE4" s="132">
        <f t="shared" si="1"/>
        <v>46721</v>
      </c>
      <c r="AF4" s="132">
        <f t="shared" si="1"/>
        <v>46752</v>
      </c>
      <c r="AG4" s="1" t="s">
        <v>344</v>
      </c>
      <c r="AI4" s="213"/>
      <c r="AJ4" s="132">
        <v>46783</v>
      </c>
      <c r="AK4" s="132">
        <f t="shared" ref="AK4:AU4" si="2">EOMONTH(AJ4,1)</f>
        <v>46812</v>
      </c>
      <c r="AL4" s="132">
        <f t="shared" si="2"/>
        <v>46843</v>
      </c>
      <c r="AM4" s="132">
        <f t="shared" si="2"/>
        <v>46873</v>
      </c>
      <c r="AN4" s="132">
        <f t="shared" si="2"/>
        <v>46904</v>
      </c>
      <c r="AO4" s="132">
        <f t="shared" si="2"/>
        <v>46934</v>
      </c>
      <c r="AP4" s="132">
        <f t="shared" si="2"/>
        <v>46965</v>
      </c>
      <c r="AQ4" s="132">
        <f t="shared" si="2"/>
        <v>46996</v>
      </c>
      <c r="AR4" s="132">
        <f t="shared" si="2"/>
        <v>47026</v>
      </c>
      <c r="AS4" s="132">
        <f t="shared" si="2"/>
        <v>47057</v>
      </c>
      <c r="AT4" s="132">
        <f t="shared" si="2"/>
        <v>47087</v>
      </c>
      <c r="AU4" s="132">
        <f t="shared" si="2"/>
        <v>47118</v>
      </c>
      <c r="AV4" s="1" t="s">
        <v>344</v>
      </c>
    </row>
    <row r="5" spans="1:48" ht="14.25" customHeight="1" x14ac:dyDescent="0.3">
      <c r="A5" s="133"/>
      <c r="B5" s="133"/>
      <c r="C5" s="133"/>
      <c r="D5" s="153"/>
      <c r="E5" s="134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6"/>
      <c r="T5" s="134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6"/>
      <c r="AI5" s="134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6"/>
    </row>
    <row r="6" spans="1:48" ht="14.25" customHeight="1" x14ac:dyDescent="0.3">
      <c r="A6" s="137"/>
      <c r="B6" s="137" t="s">
        <v>345</v>
      </c>
      <c r="C6" s="137" t="s">
        <v>349</v>
      </c>
      <c r="D6" s="154">
        <v>46023</v>
      </c>
      <c r="E6" s="138">
        <v>30000</v>
      </c>
      <c r="F6" s="139">
        <f t="shared" ref="F6:Q6" si="3">+$E6/12</f>
        <v>2500</v>
      </c>
      <c r="G6" s="139">
        <f t="shared" si="3"/>
        <v>2500</v>
      </c>
      <c r="H6" s="139">
        <f t="shared" si="3"/>
        <v>2500</v>
      </c>
      <c r="I6" s="139">
        <f t="shared" si="3"/>
        <v>2500</v>
      </c>
      <c r="J6" s="139">
        <f t="shared" si="3"/>
        <v>2500</v>
      </c>
      <c r="K6" s="139">
        <f t="shared" si="3"/>
        <v>2500</v>
      </c>
      <c r="L6" s="139">
        <f t="shared" si="3"/>
        <v>2500</v>
      </c>
      <c r="M6" s="139">
        <f t="shared" si="3"/>
        <v>2500</v>
      </c>
      <c r="N6" s="139">
        <f t="shared" si="3"/>
        <v>2500</v>
      </c>
      <c r="O6" s="139">
        <f t="shared" si="3"/>
        <v>2500</v>
      </c>
      <c r="P6" s="139">
        <f t="shared" si="3"/>
        <v>2500</v>
      </c>
      <c r="Q6" s="139">
        <f t="shared" si="3"/>
        <v>2500</v>
      </c>
      <c r="R6" s="140">
        <f t="shared" ref="R6:R12" si="4">SUM(F6:Q6)</f>
        <v>30000</v>
      </c>
      <c r="T6" s="138"/>
      <c r="U6" s="139">
        <v>2900</v>
      </c>
      <c r="V6" s="139">
        <v>2900</v>
      </c>
      <c r="W6" s="139">
        <v>2900</v>
      </c>
      <c r="X6" s="139">
        <v>2900</v>
      </c>
      <c r="Y6" s="139">
        <v>2900</v>
      </c>
      <c r="Z6" s="139">
        <v>2900</v>
      </c>
      <c r="AA6" s="139">
        <v>2900</v>
      </c>
      <c r="AB6" s="139">
        <v>2900</v>
      </c>
      <c r="AC6" s="139">
        <v>2900</v>
      </c>
      <c r="AD6" s="139">
        <v>2900</v>
      </c>
      <c r="AE6" s="139">
        <v>2900</v>
      </c>
      <c r="AF6" s="139">
        <v>2900</v>
      </c>
      <c r="AG6" s="140">
        <f t="shared" ref="AG6:AG16" si="5">SUM(U6:AF6)</f>
        <v>34800</v>
      </c>
      <c r="AI6" s="140"/>
      <c r="AJ6" s="139">
        <v>3300</v>
      </c>
      <c r="AK6" s="139">
        <v>3300</v>
      </c>
      <c r="AL6" s="139">
        <v>3300</v>
      </c>
      <c r="AM6" s="139">
        <v>3300</v>
      </c>
      <c r="AN6" s="139">
        <v>3300</v>
      </c>
      <c r="AO6" s="139">
        <v>3300</v>
      </c>
      <c r="AP6" s="139">
        <v>3300</v>
      </c>
      <c r="AQ6" s="139">
        <v>3300</v>
      </c>
      <c r="AR6" s="139">
        <v>3300</v>
      </c>
      <c r="AS6" s="139">
        <v>3300</v>
      </c>
      <c r="AT6" s="139">
        <v>3300</v>
      </c>
      <c r="AU6" s="139">
        <v>3300</v>
      </c>
      <c r="AV6" s="140">
        <f t="shared" ref="AV6:AV16" si="6">SUM(AJ6:AU6)</f>
        <v>39600</v>
      </c>
    </row>
    <row r="7" spans="1:48" ht="14.25" customHeight="1" x14ac:dyDescent="0.3">
      <c r="A7" s="137"/>
      <c r="B7" s="137" t="s">
        <v>345</v>
      </c>
      <c r="C7" s="137" t="s">
        <v>350</v>
      </c>
      <c r="D7" s="154">
        <v>46388</v>
      </c>
      <c r="E7" s="138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40">
        <f t="shared" si="4"/>
        <v>0</v>
      </c>
      <c r="T7" s="138"/>
      <c r="U7" s="139">
        <v>3300</v>
      </c>
      <c r="V7" s="139">
        <v>3300</v>
      </c>
      <c r="W7" s="139">
        <v>3300</v>
      </c>
      <c r="X7" s="139">
        <v>3300</v>
      </c>
      <c r="Y7" s="139">
        <v>3300</v>
      </c>
      <c r="Z7" s="139">
        <v>3300</v>
      </c>
      <c r="AA7" s="139">
        <v>3300</v>
      </c>
      <c r="AB7" s="139">
        <v>3300</v>
      </c>
      <c r="AC7" s="139">
        <v>3300</v>
      </c>
      <c r="AD7" s="139">
        <v>3300</v>
      </c>
      <c r="AE7" s="139">
        <v>3300</v>
      </c>
      <c r="AF7" s="139">
        <v>3300</v>
      </c>
      <c r="AG7" s="140">
        <f t="shared" si="5"/>
        <v>39600</v>
      </c>
      <c r="AI7" s="140"/>
      <c r="AJ7" s="139">
        <v>3700</v>
      </c>
      <c r="AK7" s="139">
        <v>3700</v>
      </c>
      <c r="AL7" s="139">
        <v>3700</v>
      </c>
      <c r="AM7" s="139">
        <v>3700</v>
      </c>
      <c r="AN7" s="139">
        <v>3700</v>
      </c>
      <c r="AO7" s="139">
        <v>3700</v>
      </c>
      <c r="AP7" s="139">
        <v>3700</v>
      </c>
      <c r="AQ7" s="139">
        <v>3700</v>
      </c>
      <c r="AR7" s="139">
        <v>3700</v>
      </c>
      <c r="AS7" s="139">
        <v>3700</v>
      </c>
      <c r="AT7" s="139">
        <v>3700</v>
      </c>
      <c r="AU7" s="139">
        <v>3700</v>
      </c>
      <c r="AV7" s="140">
        <f t="shared" si="6"/>
        <v>44400</v>
      </c>
    </row>
    <row r="8" spans="1:48" ht="14.25" customHeight="1" x14ac:dyDescent="0.3">
      <c r="A8" s="137"/>
      <c r="B8" s="137" t="s">
        <v>345</v>
      </c>
      <c r="C8" s="137" t="s">
        <v>350</v>
      </c>
      <c r="D8" s="154">
        <v>46753</v>
      </c>
      <c r="E8" s="138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40">
        <f t="shared" si="4"/>
        <v>0</v>
      </c>
      <c r="T8" s="138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40">
        <f t="shared" si="5"/>
        <v>0</v>
      </c>
      <c r="AI8" s="140"/>
      <c r="AJ8" s="139">
        <v>3700</v>
      </c>
      <c r="AK8" s="139">
        <v>3700</v>
      </c>
      <c r="AL8" s="139">
        <v>3700</v>
      </c>
      <c r="AM8" s="139">
        <v>3700</v>
      </c>
      <c r="AN8" s="139">
        <v>3700</v>
      </c>
      <c r="AO8" s="139">
        <v>3700</v>
      </c>
      <c r="AP8" s="139">
        <v>3700</v>
      </c>
      <c r="AQ8" s="139">
        <v>3700</v>
      </c>
      <c r="AR8" s="139">
        <v>3700</v>
      </c>
      <c r="AS8" s="139">
        <v>3700</v>
      </c>
      <c r="AT8" s="139">
        <v>3700</v>
      </c>
      <c r="AU8" s="139">
        <v>3700</v>
      </c>
      <c r="AV8" s="140">
        <f t="shared" si="6"/>
        <v>44400</v>
      </c>
    </row>
    <row r="9" spans="1:48" ht="14.25" customHeight="1" x14ac:dyDescent="0.3">
      <c r="A9" s="137"/>
      <c r="B9" s="137" t="s">
        <v>345</v>
      </c>
      <c r="C9" s="137" t="s">
        <v>351</v>
      </c>
      <c r="D9" s="154" t="s">
        <v>346</v>
      </c>
      <c r="E9" s="138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40">
        <f t="shared" si="4"/>
        <v>0</v>
      </c>
      <c r="T9" s="138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40">
        <f t="shared" si="5"/>
        <v>0</v>
      </c>
      <c r="AI9" s="140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40">
        <f t="shared" si="6"/>
        <v>0</v>
      </c>
    </row>
    <row r="10" spans="1:48" ht="14.25" customHeight="1" x14ac:dyDescent="0.3">
      <c r="A10" s="137"/>
      <c r="B10" s="137"/>
      <c r="C10" s="137"/>
      <c r="D10" s="154"/>
      <c r="E10" s="138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40">
        <f t="shared" si="4"/>
        <v>0</v>
      </c>
      <c r="T10" s="138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40">
        <f t="shared" si="5"/>
        <v>0</v>
      </c>
      <c r="AI10" s="140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40">
        <f t="shared" si="6"/>
        <v>0</v>
      </c>
    </row>
    <row r="11" spans="1:48" ht="14.25" customHeight="1" x14ac:dyDescent="0.3">
      <c r="A11" s="137"/>
      <c r="B11" s="137"/>
      <c r="C11" s="137"/>
      <c r="D11" s="154"/>
      <c r="E11" s="138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40">
        <f t="shared" si="4"/>
        <v>0</v>
      </c>
      <c r="T11" s="138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40">
        <f t="shared" si="5"/>
        <v>0</v>
      </c>
      <c r="AI11" s="140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40">
        <f t="shared" si="6"/>
        <v>0</v>
      </c>
    </row>
    <row r="12" spans="1:48" ht="14.25" customHeight="1" x14ac:dyDescent="0.3">
      <c r="A12" s="137"/>
      <c r="B12" s="137"/>
      <c r="C12" s="137"/>
      <c r="D12" s="154"/>
      <c r="E12" s="138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40">
        <f t="shared" si="4"/>
        <v>0</v>
      </c>
      <c r="S12" s="141"/>
      <c r="T12" s="138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40">
        <f t="shared" si="5"/>
        <v>0</v>
      </c>
      <c r="AI12" s="140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40">
        <f t="shared" si="6"/>
        <v>0</v>
      </c>
    </row>
    <row r="13" spans="1:48" ht="14.25" customHeight="1" x14ac:dyDescent="0.3">
      <c r="A13" s="137"/>
      <c r="B13" s="137"/>
      <c r="C13" s="137"/>
      <c r="D13" s="154"/>
      <c r="E13" s="138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40"/>
      <c r="T13" s="138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40">
        <f t="shared" si="5"/>
        <v>0</v>
      </c>
      <c r="AI13" s="140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40">
        <f t="shared" si="6"/>
        <v>0</v>
      </c>
    </row>
    <row r="14" spans="1:48" ht="14.25" customHeight="1" x14ac:dyDescent="0.3">
      <c r="A14" s="137"/>
      <c r="B14" s="137"/>
      <c r="C14" s="137"/>
      <c r="D14" s="154"/>
      <c r="E14" s="138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40"/>
      <c r="T14" s="138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40">
        <f t="shared" si="5"/>
        <v>0</v>
      </c>
      <c r="AI14" s="140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40">
        <f t="shared" si="6"/>
        <v>0</v>
      </c>
    </row>
    <row r="15" spans="1:48" ht="14.25" customHeight="1" x14ac:dyDescent="0.3">
      <c r="A15" s="137"/>
      <c r="B15" s="137"/>
      <c r="C15" s="137"/>
      <c r="D15" s="154"/>
      <c r="E15" s="138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40"/>
      <c r="T15" s="138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40">
        <f t="shared" si="5"/>
        <v>0</v>
      </c>
      <c r="AI15" s="140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40">
        <f t="shared" si="6"/>
        <v>0</v>
      </c>
    </row>
    <row r="16" spans="1:48" ht="14.25" customHeight="1" x14ac:dyDescent="0.3">
      <c r="A16" s="137"/>
      <c r="B16" s="137"/>
      <c r="C16" s="137"/>
      <c r="D16" s="154"/>
      <c r="E16" s="138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40"/>
      <c r="T16" s="138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40">
        <f t="shared" si="5"/>
        <v>0</v>
      </c>
      <c r="AI16" s="140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40">
        <f t="shared" si="6"/>
        <v>0</v>
      </c>
    </row>
    <row r="17" spans="1:48" ht="14.25" customHeight="1" x14ac:dyDescent="0.3">
      <c r="A17" s="142"/>
      <c r="B17" s="142" t="s">
        <v>344</v>
      </c>
      <c r="C17" s="142" t="s">
        <v>347</v>
      </c>
      <c r="D17" s="155"/>
      <c r="E17" s="138"/>
      <c r="F17" s="140">
        <f t="shared" ref="F17:R17" si="7">SUM(F6:F16)</f>
        <v>2500</v>
      </c>
      <c r="G17" s="140">
        <f t="shared" si="7"/>
        <v>2500</v>
      </c>
      <c r="H17" s="140">
        <f t="shared" si="7"/>
        <v>2500</v>
      </c>
      <c r="I17" s="140">
        <f t="shared" si="7"/>
        <v>2500</v>
      </c>
      <c r="J17" s="140">
        <f t="shared" si="7"/>
        <v>2500</v>
      </c>
      <c r="K17" s="140">
        <f t="shared" si="7"/>
        <v>2500</v>
      </c>
      <c r="L17" s="140">
        <f t="shared" si="7"/>
        <v>2500</v>
      </c>
      <c r="M17" s="140">
        <f t="shared" si="7"/>
        <v>2500</v>
      </c>
      <c r="N17" s="140">
        <f t="shared" si="7"/>
        <v>2500</v>
      </c>
      <c r="O17" s="140">
        <f t="shared" si="7"/>
        <v>2500</v>
      </c>
      <c r="P17" s="140">
        <f t="shared" si="7"/>
        <v>2500</v>
      </c>
      <c r="Q17" s="140">
        <f t="shared" si="7"/>
        <v>2500</v>
      </c>
      <c r="R17" s="140">
        <f t="shared" si="7"/>
        <v>30000</v>
      </c>
      <c r="T17" s="138"/>
      <c r="U17" s="140">
        <f t="shared" ref="U17:AG17" si="8">SUM(U6:U16)</f>
        <v>6200</v>
      </c>
      <c r="V17" s="140">
        <f t="shared" si="8"/>
        <v>6200</v>
      </c>
      <c r="W17" s="140">
        <f t="shared" si="8"/>
        <v>6200</v>
      </c>
      <c r="X17" s="140">
        <f t="shared" si="8"/>
        <v>6200</v>
      </c>
      <c r="Y17" s="140">
        <f t="shared" si="8"/>
        <v>6200</v>
      </c>
      <c r="Z17" s="140">
        <f t="shared" si="8"/>
        <v>6200</v>
      </c>
      <c r="AA17" s="140">
        <f t="shared" si="8"/>
        <v>6200</v>
      </c>
      <c r="AB17" s="140">
        <f t="shared" si="8"/>
        <v>6200</v>
      </c>
      <c r="AC17" s="140">
        <f t="shared" si="8"/>
        <v>6200</v>
      </c>
      <c r="AD17" s="140">
        <f t="shared" si="8"/>
        <v>6200</v>
      </c>
      <c r="AE17" s="140">
        <f t="shared" si="8"/>
        <v>6200</v>
      </c>
      <c r="AF17" s="140">
        <f t="shared" si="8"/>
        <v>6200</v>
      </c>
      <c r="AG17" s="140">
        <f t="shared" si="8"/>
        <v>74400</v>
      </c>
      <c r="AI17" s="138"/>
      <c r="AJ17" s="140">
        <f t="shared" ref="AJ17:AV17" si="9">SUM(AJ6:AJ16)</f>
        <v>10700</v>
      </c>
      <c r="AK17" s="140">
        <f t="shared" si="9"/>
        <v>10700</v>
      </c>
      <c r="AL17" s="140">
        <f t="shared" si="9"/>
        <v>10700</v>
      </c>
      <c r="AM17" s="140">
        <f t="shared" si="9"/>
        <v>10700</v>
      </c>
      <c r="AN17" s="140">
        <f t="shared" si="9"/>
        <v>10700</v>
      </c>
      <c r="AO17" s="140">
        <f t="shared" si="9"/>
        <v>10700</v>
      </c>
      <c r="AP17" s="140">
        <f t="shared" si="9"/>
        <v>10700</v>
      </c>
      <c r="AQ17" s="140">
        <f t="shared" si="9"/>
        <v>10700</v>
      </c>
      <c r="AR17" s="140">
        <f t="shared" si="9"/>
        <v>10700</v>
      </c>
      <c r="AS17" s="140">
        <f t="shared" si="9"/>
        <v>10700</v>
      </c>
      <c r="AT17" s="140">
        <f t="shared" si="9"/>
        <v>10700</v>
      </c>
      <c r="AU17" s="140">
        <f t="shared" si="9"/>
        <v>10700</v>
      </c>
      <c r="AV17" s="140">
        <f t="shared" si="9"/>
        <v>128400</v>
      </c>
    </row>
    <row r="18" spans="1:48" ht="14.25" customHeight="1" x14ac:dyDescent="0.3">
      <c r="A18" s="144"/>
      <c r="B18" s="144"/>
      <c r="C18" s="144"/>
      <c r="D18" s="156"/>
      <c r="E18" s="145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T18" s="145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I18" s="145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</row>
    <row r="19" spans="1:48" ht="14.25" customHeight="1" x14ac:dyDescent="0.3">
      <c r="A19" s="147"/>
      <c r="B19" s="147"/>
      <c r="C19" s="147" t="s">
        <v>348</v>
      </c>
      <c r="D19" s="157"/>
      <c r="E19" s="148"/>
      <c r="F19" s="149">
        <f t="shared" ref="F19:Q19" si="10">COUNTA(F6:F16)</f>
        <v>1</v>
      </c>
      <c r="G19" s="149">
        <f t="shared" si="10"/>
        <v>1</v>
      </c>
      <c r="H19" s="149">
        <f t="shared" si="10"/>
        <v>1</v>
      </c>
      <c r="I19" s="149">
        <f t="shared" si="10"/>
        <v>1</v>
      </c>
      <c r="J19" s="149">
        <f t="shared" si="10"/>
        <v>1</v>
      </c>
      <c r="K19" s="149">
        <f t="shared" si="10"/>
        <v>1</v>
      </c>
      <c r="L19" s="149">
        <f t="shared" si="10"/>
        <v>1</v>
      </c>
      <c r="M19" s="149">
        <f t="shared" si="10"/>
        <v>1</v>
      </c>
      <c r="N19" s="149">
        <f t="shared" si="10"/>
        <v>1</v>
      </c>
      <c r="O19" s="149">
        <f t="shared" si="10"/>
        <v>1</v>
      </c>
      <c r="P19" s="149">
        <f t="shared" si="10"/>
        <v>1</v>
      </c>
      <c r="Q19" s="149">
        <f t="shared" si="10"/>
        <v>1</v>
      </c>
      <c r="R19" s="146"/>
      <c r="T19" s="148"/>
      <c r="U19" s="149">
        <f t="shared" ref="U19:AF19" si="11">COUNTA(U6:U16)</f>
        <v>2</v>
      </c>
      <c r="V19" s="149">
        <f t="shared" si="11"/>
        <v>2</v>
      </c>
      <c r="W19" s="149">
        <f t="shared" si="11"/>
        <v>2</v>
      </c>
      <c r="X19" s="149">
        <f t="shared" si="11"/>
        <v>2</v>
      </c>
      <c r="Y19" s="149">
        <f t="shared" si="11"/>
        <v>2</v>
      </c>
      <c r="Z19" s="149">
        <f t="shared" si="11"/>
        <v>2</v>
      </c>
      <c r="AA19" s="149">
        <f t="shared" si="11"/>
        <v>2</v>
      </c>
      <c r="AB19" s="149">
        <f t="shared" si="11"/>
        <v>2</v>
      </c>
      <c r="AC19" s="149">
        <f t="shared" si="11"/>
        <v>2</v>
      </c>
      <c r="AD19" s="149">
        <f t="shared" si="11"/>
        <v>2</v>
      </c>
      <c r="AE19" s="149">
        <f t="shared" si="11"/>
        <v>2</v>
      </c>
      <c r="AF19" s="149">
        <f t="shared" si="11"/>
        <v>2</v>
      </c>
      <c r="AG19" s="146"/>
      <c r="AI19" s="148"/>
      <c r="AJ19" s="149">
        <f t="shared" ref="AJ19:AU19" si="12">COUNTA(AJ6:AJ16)</f>
        <v>3</v>
      </c>
      <c r="AK19" s="149">
        <f t="shared" si="12"/>
        <v>3</v>
      </c>
      <c r="AL19" s="149">
        <f t="shared" si="12"/>
        <v>3</v>
      </c>
      <c r="AM19" s="149">
        <f t="shared" si="12"/>
        <v>3</v>
      </c>
      <c r="AN19" s="149">
        <f t="shared" si="12"/>
        <v>3</v>
      </c>
      <c r="AO19" s="149">
        <f t="shared" si="12"/>
        <v>3</v>
      </c>
      <c r="AP19" s="149">
        <f t="shared" si="12"/>
        <v>3</v>
      </c>
      <c r="AQ19" s="149">
        <f t="shared" si="12"/>
        <v>3</v>
      </c>
      <c r="AR19" s="149">
        <f t="shared" si="12"/>
        <v>3</v>
      </c>
      <c r="AS19" s="149">
        <f t="shared" si="12"/>
        <v>3</v>
      </c>
      <c r="AT19" s="149">
        <f t="shared" si="12"/>
        <v>3</v>
      </c>
      <c r="AU19" s="149">
        <f t="shared" si="12"/>
        <v>3</v>
      </c>
      <c r="AV19" s="146"/>
    </row>
  </sheetData>
  <mergeCells count="13">
    <mergeCell ref="A2:A4"/>
    <mergeCell ref="B2:B4"/>
    <mergeCell ref="C2:C4"/>
    <mergeCell ref="AI2:AV2"/>
    <mergeCell ref="E3:E4"/>
    <mergeCell ref="AI3:AI4"/>
    <mergeCell ref="T2:AG2"/>
    <mergeCell ref="T3:T4"/>
    <mergeCell ref="E2:R2"/>
    <mergeCell ref="AJ3:AV3"/>
    <mergeCell ref="F3:R3"/>
    <mergeCell ref="U3:AG3"/>
    <mergeCell ref="D2:D4"/>
  </mergeCells>
  <dataValidations count="1">
    <dataValidation type="decimal" operator="greaterThanOrEqual" allowBlank="1" showErrorMessage="1" sqref="E6:Q16 T6:AF16 AJ6:AU16" xr:uid="{00000000-0002-0000-0A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6</vt:i4>
      </vt:variant>
    </vt:vector>
  </HeadingPairs>
  <TitlesOfParts>
    <vt:vector size="16" baseType="lpstr">
      <vt:lpstr>ACCUEIL</vt:lpstr>
      <vt:lpstr>SAISIE</vt:lpstr>
      <vt:lpstr>Tableau de bord KPI</vt:lpstr>
      <vt:lpstr>Synthèse</vt:lpstr>
      <vt:lpstr>Bilan</vt:lpstr>
      <vt:lpstr>Plan de Financement</vt:lpstr>
      <vt:lpstr>Compte de Résultat</vt:lpstr>
      <vt:lpstr>Plan de trésorerie</vt:lpstr>
      <vt:lpstr>Prévisions mensuelles</vt:lpstr>
      <vt:lpstr>Personnel</vt:lpstr>
      <vt:lpstr>'Prévisions mensuelles'!Impression_des_titres</vt:lpstr>
      <vt:lpstr>Bilan!Zone_d_impression</vt:lpstr>
      <vt:lpstr>'Compte de Résultat'!Zone_d_impression</vt:lpstr>
      <vt:lpstr>'Plan de Financement'!Zone_d_impression</vt:lpstr>
      <vt:lpstr>'Prévisions mensuelles'!Zone_d_impression</vt:lpstr>
      <vt:lpstr>Synthèse!Zone_d_impression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2026-02-22T19:46:22Z</dcterms:created>
  <dcterms:modified xsi:type="dcterms:W3CDTF">2026-02-25T13:08:11Z</dcterms:modified>
  <dc:language/>
</cp:coreProperties>
</file>